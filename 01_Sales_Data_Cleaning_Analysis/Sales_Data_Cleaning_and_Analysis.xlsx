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na\Downloads\"/>
    </mc:Choice>
  </mc:AlternateContent>
  <xr:revisionPtr revIDLastSave="0" documentId="8_{F194F4CD-151B-430B-A9D0-EC5DF554A8D1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Cleaned Data" sheetId="1" r:id="rId1"/>
    <sheet name="Project Info" sheetId="4" r:id="rId2"/>
    <sheet name="Sales Summary" sheetId="3" r:id="rId3"/>
    <sheet name="Raw data" sheetId="2" r:id="rId4"/>
  </sheets>
  <definedNames>
    <definedName name="_xlnm._FilterDatabase" localSheetId="0" hidden="1">'Cleaned Data'!$A$1:$G$20</definedName>
    <definedName name="_xlchart.v1.0" hidden="1">'Sales Summary'!$A$9:$A$13</definedName>
    <definedName name="_xlchart.v1.1" hidden="1">'Sales Summary'!$C$8</definedName>
    <definedName name="_xlchart.v1.2" hidden="1">'Sales Summary'!$C$9:$C$13</definedName>
  </definedNames>
  <calcPr calcId="181029"/>
</workbook>
</file>

<file path=xl/calcChain.xml><?xml version="1.0" encoding="utf-8"?>
<calcChain xmlns="http://schemas.openxmlformats.org/spreadsheetml/2006/main">
  <c r="B9" i="3" l="1"/>
  <c r="C9" i="3"/>
  <c r="D10" i="3"/>
  <c r="D11" i="3"/>
  <c r="D12" i="3"/>
  <c r="D13" i="3"/>
  <c r="D9" i="3"/>
  <c r="C10" i="3"/>
  <c r="C11" i="3"/>
  <c r="C12" i="3"/>
  <c r="C13" i="3"/>
  <c r="B10" i="3"/>
  <c r="B11" i="3"/>
  <c r="B12" i="3"/>
  <c r="B13" i="3"/>
  <c r="B5" i="3"/>
  <c r="B4" i="3"/>
  <c r="B3" i="3"/>
  <c r="B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<sst xmlns="http://schemas.openxmlformats.org/spreadsheetml/2006/main" count="232" uniqueCount="87">
  <si>
    <t>Order ID</t>
  </si>
  <si>
    <t>Customer Name</t>
  </si>
  <si>
    <t>Product</t>
  </si>
  <si>
    <t>Quantity</t>
  </si>
  <si>
    <t>Unit Price</t>
  </si>
  <si>
    <t>Order Date</t>
  </si>
  <si>
    <t>City</t>
  </si>
  <si>
    <t>ORD001</t>
  </si>
  <si>
    <t>Rahul Kumar</t>
  </si>
  <si>
    <t>Laptop</t>
  </si>
  <si>
    <t>12-08-2026</t>
  </si>
  <si>
    <t>Hyderabad</t>
  </si>
  <si>
    <t>ORD002</t>
  </si>
  <si>
    <t>Ananya Reddy</t>
  </si>
  <si>
    <t>Mouse</t>
  </si>
  <si>
    <t>13-08-2026</t>
  </si>
  <si>
    <t>Vijayawada</t>
  </si>
  <si>
    <t>ORD003</t>
  </si>
  <si>
    <t>Kiran Rao</t>
  </si>
  <si>
    <t>Keyboard</t>
  </si>
  <si>
    <t>14/08/2026</t>
  </si>
  <si>
    <t>Bengaluru</t>
  </si>
  <si>
    <t>ORD004</t>
  </si>
  <si>
    <t>Priya Sharma</t>
  </si>
  <si>
    <t>Monitor</t>
  </si>
  <si>
    <t>15-08-2026</t>
  </si>
  <si>
    <t>ORD005</t>
  </si>
  <si>
    <t>Suresh Kumar</t>
  </si>
  <si>
    <t>16-08-2026</t>
  </si>
  <si>
    <t>Chennai</t>
  </si>
  <si>
    <t>ORD006</t>
  </si>
  <si>
    <t>Anjali Reddy</t>
  </si>
  <si>
    <t>Headphones</t>
  </si>
  <si>
    <t>17-08-2026</t>
  </si>
  <si>
    <t>ORD007</t>
  </si>
  <si>
    <t>Rahul kumar</t>
  </si>
  <si>
    <t>18-08-2026</t>
  </si>
  <si>
    <t>ORD008</t>
  </si>
  <si>
    <t>Vamsi Krishna</t>
  </si>
  <si>
    <t>19-08-2026</t>
  </si>
  <si>
    <t>Vizag</t>
  </si>
  <si>
    <t>ORD009</t>
  </si>
  <si>
    <t>Sneha Rao</t>
  </si>
  <si>
    <t>20-08-2026</t>
  </si>
  <si>
    <t>ORD010</t>
  </si>
  <si>
    <t>Arjun Patel</t>
  </si>
  <si>
    <t>21-08-2026</t>
  </si>
  <si>
    <t>Mumbai</t>
  </si>
  <si>
    <t>ORD011</t>
  </si>
  <si>
    <t>Meena Das</t>
  </si>
  <si>
    <t>22-08-2026</t>
  </si>
  <si>
    <t>ORD012</t>
  </si>
  <si>
    <t>23-08-2026</t>
  </si>
  <si>
    <t>ORD013</t>
  </si>
  <si>
    <t>24-08-2026</t>
  </si>
  <si>
    <t>ORD014</t>
  </si>
  <si>
    <t>25-08-2026</t>
  </si>
  <si>
    <t>ORD015</t>
  </si>
  <si>
    <t>26-08-2026</t>
  </si>
  <si>
    <t>ORD016</t>
  </si>
  <si>
    <t>27-08-2026</t>
  </si>
  <si>
    <t>ORD017</t>
  </si>
  <si>
    <t>28-08-2026</t>
  </si>
  <si>
    <t>ORD018</t>
  </si>
  <si>
    <t>29-08-2026</t>
  </si>
  <si>
    <t>ORD019</t>
  </si>
  <si>
    <t>30-08-2026</t>
  </si>
  <si>
    <t>Visakhapatnam</t>
  </si>
  <si>
    <t>Total Sales</t>
  </si>
  <si>
    <t xml:space="preserve">        Total Sales</t>
  </si>
  <si>
    <t>SALES SUMMARY REPORT</t>
  </si>
  <si>
    <t>Total Orders</t>
  </si>
  <si>
    <t>Average Order Value</t>
  </si>
  <si>
    <t>Total Quantity Sold</t>
  </si>
  <si>
    <r>
      <t xml:space="preserve">              </t>
    </r>
    <r>
      <rPr>
        <b/>
        <sz val="11"/>
        <color theme="1"/>
        <rFont val="Calibri"/>
        <family val="2"/>
        <scheme val="minor"/>
      </rPr>
      <t>Product</t>
    </r>
  </si>
  <si>
    <t>Product Summary Report</t>
  </si>
  <si>
    <t xml:space="preserve">          Units Sold</t>
  </si>
  <si>
    <r>
      <t xml:space="preserve">     </t>
    </r>
    <r>
      <rPr>
        <b/>
        <sz val="11"/>
        <color theme="1"/>
        <rFont val="Calibri"/>
        <family val="2"/>
        <scheme val="minor"/>
      </rPr>
      <t>Total Sales</t>
    </r>
  </si>
  <si>
    <r>
      <t xml:space="preserve">   </t>
    </r>
    <r>
      <rPr>
        <b/>
        <sz val="11"/>
        <color theme="1"/>
        <rFont val="Calibri"/>
        <family val="2"/>
        <scheme val="minor"/>
      </rPr>
      <t>Number of Orders</t>
    </r>
  </si>
  <si>
    <t>PROJECT 1 - SALES DATA CLEANING &amp; ANALYSIS</t>
  </si>
  <si>
    <t>Project Description</t>
  </si>
  <si>
    <t>Cleaned and organized raw sales data by identifying duplicates, standardizing dates and city names, and creating a sales summary report. Used Excel formulas and charts to analyze total sales, quantities sold, and product-wise performance.</t>
  </si>
  <si>
    <t>Sales Data Cleaning &amp; Analysis – Excel</t>
  </si>
  <si>
    <t>Tools Used</t>
  </si>
  <si>
    <t>Microsoft Excel, Data Cleaning, Excel Formulas, Data Visualization</t>
  </si>
  <si>
    <t>Key Tasks</t>
  </si>
  <si>
    <t>Data Cleaning, duplicate identification, date standardization, city standardization, sales analysis, chart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</si>
</sst>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165" fontId="2" fillId="0" borderId="1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      </a:t>
            </a:r>
            <a:r>
              <a:rPr lang="en-US" b="1"/>
              <a:t>Total Sales by</a:t>
            </a:r>
            <a:r>
              <a:rPr lang="en-US" b="1" baseline="0"/>
              <a:t> Product</a:t>
            </a:r>
            <a:endParaRPr lang="en-US" b="1"/>
          </a:p>
        </c:rich>
      </c:tx>
      <c:layout>
        <c:manualLayout>
          <c:xMode val="edge"/>
          <c:yMode val="edge"/>
          <c:x val="0.27642943670502723"/>
          <c:y val="4.90196078431372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Summary'!$C$8</c:f>
              <c:strCache>
                <c:ptCount val="1"/>
                <c:pt idx="0">
                  <c:v>    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Summary'!$A$9:$A$13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Headphones</c:v>
                </c:pt>
              </c:strCache>
            </c:strRef>
          </c:cat>
          <c:val>
            <c:numRef>
              <c:f>'Sales Summary'!$C$9:$C$13</c:f>
              <c:numCache>
                <c:formatCode>"₹"\ #,##0.00</c:formatCode>
                <c:ptCount val="5"/>
                <c:pt idx="0">
                  <c:v>220000</c:v>
                </c:pt>
                <c:pt idx="1">
                  <c:v>7200</c:v>
                </c:pt>
                <c:pt idx="2">
                  <c:v>7500</c:v>
                </c:pt>
                <c:pt idx="3">
                  <c:v>62500</c:v>
                </c:pt>
                <c:pt idx="4">
                  <c:v>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D-4AA2-9A2C-7EB9F6FD37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8380319"/>
        <c:axId val="1491967407"/>
      </c:barChart>
      <c:catAx>
        <c:axId val="131838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67407"/>
        <c:crosses val="autoZero"/>
        <c:auto val="1"/>
        <c:lblAlgn val="ctr"/>
        <c:lblOffset val="100"/>
        <c:noMultiLvlLbl val="0"/>
      </c:catAx>
      <c:valAx>
        <c:axId val="14919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8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1135380</xdr:colOff>
      <xdr:row>15</xdr:row>
      <xdr:rowOff>60960</xdr:rowOff>
    </xdr:from>
    <xdr:to>
      <xdr:col>5</xdr:col>
      <xdr:colOff>480060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6DA27-D77A-1A07-A1E2-948CB5837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2.6640625" customWidth="1"/>
    <col min="2" max="2" width="19.77734375" customWidth="1"/>
    <col min="3" max="3" width="14.44140625" customWidth="1"/>
    <col min="4" max="4" width="16.109375" customWidth="1"/>
    <col min="5" max="5" width="17.44140625" customWidth="1"/>
    <col min="6" max="6" width="18.33203125" style="3" customWidth="1"/>
    <col min="7" max="7" width="14.88671875" customWidth="1"/>
    <col min="8" max="8" width="17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4" t="s">
        <v>69</v>
      </c>
    </row>
    <row r="2" spans="1:8" x14ac:dyDescent="0.3">
      <c r="A2" t="s">
        <v>7</v>
      </c>
      <c r="B2" t="s">
        <v>8</v>
      </c>
      <c r="C2" t="s">
        <v>9</v>
      </c>
      <c r="D2">
        <v>1</v>
      </c>
      <c r="E2">
        <v>55000</v>
      </c>
      <c r="F2" s="3" t="s">
        <v>10</v>
      </c>
      <c r="G2" t="s">
        <v>11</v>
      </c>
      <c r="H2">
        <f>D2*E2</f>
        <v>55000</v>
      </c>
    </row>
    <row r="3" spans="1:8" x14ac:dyDescent="0.3">
      <c r="A3" t="s">
        <v>12</v>
      </c>
      <c r="B3" t="s">
        <v>13</v>
      </c>
      <c r="C3" t="s">
        <v>14</v>
      </c>
      <c r="D3">
        <v>2</v>
      </c>
      <c r="E3">
        <v>800</v>
      </c>
      <c r="F3" s="3" t="s">
        <v>15</v>
      </c>
      <c r="G3" t="s">
        <v>16</v>
      </c>
      <c r="H3">
        <f t="shared" ref="H3:H20" si="0">D3*E3</f>
        <v>1600</v>
      </c>
    </row>
    <row r="4" spans="1:8" x14ac:dyDescent="0.3">
      <c r="A4" t="s">
        <v>17</v>
      </c>
      <c r="B4" t="s">
        <v>18</v>
      </c>
      <c r="C4" t="s">
        <v>19</v>
      </c>
      <c r="D4">
        <v>1</v>
      </c>
      <c r="E4">
        <v>1500</v>
      </c>
      <c r="F4" s="12">
        <v>46248</v>
      </c>
      <c r="G4" t="s">
        <v>21</v>
      </c>
      <c r="H4">
        <f t="shared" si="0"/>
        <v>1500</v>
      </c>
    </row>
    <row r="5" spans="1:8" x14ac:dyDescent="0.3">
      <c r="A5" t="s">
        <v>22</v>
      </c>
      <c r="B5" t="s">
        <v>23</v>
      </c>
      <c r="C5" t="s">
        <v>24</v>
      </c>
      <c r="D5">
        <v>2</v>
      </c>
      <c r="E5">
        <v>12500</v>
      </c>
      <c r="F5" s="3" t="s">
        <v>25</v>
      </c>
      <c r="G5" t="s">
        <v>11</v>
      </c>
      <c r="H5">
        <f t="shared" si="0"/>
        <v>25000</v>
      </c>
    </row>
    <row r="6" spans="1:8" x14ac:dyDescent="0.3">
      <c r="A6" t="s">
        <v>26</v>
      </c>
      <c r="B6" t="s">
        <v>27</v>
      </c>
      <c r="C6" t="s">
        <v>9</v>
      </c>
      <c r="D6">
        <v>1</v>
      </c>
      <c r="E6">
        <v>55000</v>
      </c>
      <c r="F6" s="3" t="s">
        <v>28</v>
      </c>
      <c r="G6" t="s">
        <v>29</v>
      </c>
      <c r="H6">
        <f t="shared" si="0"/>
        <v>55000</v>
      </c>
    </row>
    <row r="7" spans="1:8" x14ac:dyDescent="0.3">
      <c r="A7" t="s">
        <v>30</v>
      </c>
      <c r="B7" t="s">
        <v>31</v>
      </c>
      <c r="C7" t="s">
        <v>32</v>
      </c>
      <c r="D7">
        <v>3</v>
      </c>
      <c r="E7">
        <v>2200</v>
      </c>
      <c r="F7" s="3" t="s">
        <v>33</v>
      </c>
      <c r="G7" t="s">
        <v>11</v>
      </c>
      <c r="H7">
        <f t="shared" si="0"/>
        <v>6600</v>
      </c>
    </row>
    <row r="8" spans="1:8" x14ac:dyDescent="0.3">
      <c r="A8" t="s">
        <v>34</v>
      </c>
      <c r="B8" t="s">
        <v>8</v>
      </c>
      <c r="C8" t="s">
        <v>14</v>
      </c>
      <c r="D8">
        <v>1</v>
      </c>
      <c r="E8">
        <v>800</v>
      </c>
      <c r="F8" s="3" t="s">
        <v>36</v>
      </c>
      <c r="G8" t="s">
        <v>11</v>
      </c>
      <c r="H8">
        <f t="shared" si="0"/>
        <v>800</v>
      </c>
    </row>
    <row r="9" spans="1:8" x14ac:dyDescent="0.3">
      <c r="A9" t="s">
        <v>37</v>
      </c>
      <c r="B9" t="s">
        <v>38</v>
      </c>
      <c r="C9" t="s">
        <v>19</v>
      </c>
      <c r="D9">
        <v>2</v>
      </c>
      <c r="E9">
        <v>1500</v>
      </c>
      <c r="F9" s="3" t="s">
        <v>39</v>
      </c>
      <c r="G9" t="s">
        <v>67</v>
      </c>
      <c r="H9">
        <f t="shared" si="0"/>
        <v>3000</v>
      </c>
    </row>
    <row r="10" spans="1:8" x14ac:dyDescent="0.3">
      <c r="A10" t="s">
        <v>41</v>
      </c>
      <c r="B10" t="s">
        <v>42</v>
      </c>
      <c r="C10" t="s">
        <v>24</v>
      </c>
      <c r="D10">
        <v>1</v>
      </c>
      <c r="E10">
        <v>12500</v>
      </c>
      <c r="F10" s="3" t="s">
        <v>43</v>
      </c>
      <c r="G10" t="s">
        <v>21</v>
      </c>
      <c r="H10">
        <f t="shared" si="0"/>
        <v>12500</v>
      </c>
    </row>
    <row r="11" spans="1:8" x14ac:dyDescent="0.3">
      <c r="A11" t="s">
        <v>44</v>
      </c>
      <c r="B11" t="s">
        <v>45</v>
      </c>
      <c r="C11" t="s">
        <v>9</v>
      </c>
      <c r="D11">
        <v>1</v>
      </c>
      <c r="E11">
        <v>55000</v>
      </c>
      <c r="F11" s="3" t="s">
        <v>46</v>
      </c>
      <c r="G11" t="s">
        <v>47</v>
      </c>
      <c r="H11">
        <f t="shared" si="0"/>
        <v>55000</v>
      </c>
    </row>
    <row r="12" spans="1:8" x14ac:dyDescent="0.3">
      <c r="A12" t="s">
        <v>48</v>
      </c>
      <c r="B12" t="s">
        <v>49</v>
      </c>
      <c r="C12" t="s">
        <v>32</v>
      </c>
      <c r="D12">
        <v>2</v>
      </c>
      <c r="E12">
        <v>2200</v>
      </c>
      <c r="F12" s="3" t="s">
        <v>50</v>
      </c>
      <c r="G12" t="s">
        <v>29</v>
      </c>
      <c r="H12">
        <f t="shared" si="0"/>
        <v>4400</v>
      </c>
    </row>
    <row r="13" spans="1:8" x14ac:dyDescent="0.3">
      <c r="A13" t="s">
        <v>51</v>
      </c>
      <c r="B13" t="s">
        <v>18</v>
      </c>
      <c r="C13" t="s">
        <v>19</v>
      </c>
      <c r="D13">
        <v>1</v>
      </c>
      <c r="E13">
        <v>1500</v>
      </c>
      <c r="F13" s="3" t="s">
        <v>52</v>
      </c>
      <c r="G13" t="s">
        <v>21</v>
      </c>
      <c r="H13">
        <f t="shared" si="0"/>
        <v>1500</v>
      </c>
    </row>
    <row r="14" spans="1:8" x14ac:dyDescent="0.3">
      <c r="A14" t="s">
        <v>53</v>
      </c>
      <c r="B14" t="s">
        <v>23</v>
      </c>
      <c r="C14" t="s">
        <v>24</v>
      </c>
      <c r="D14">
        <v>1</v>
      </c>
      <c r="E14">
        <v>12500</v>
      </c>
      <c r="F14" s="3" t="s">
        <v>54</v>
      </c>
      <c r="G14" t="s">
        <v>11</v>
      </c>
      <c r="H14">
        <f t="shared" si="0"/>
        <v>12500</v>
      </c>
    </row>
    <row r="15" spans="1:8" x14ac:dyDescent="0.3">
      <c r="A15" t="s">
        <v>55</v>
      </c>
      <c r="B15" t="s">
        <v>27</v>
      </c>
      <c r="C15" t="s">
        <v>14</v>
      </c>
      <c r="D15">
        <v>4</v>
      </c>
      <c r="E15">
        <v>800</v>
      </c>
      <c r="F15" s="3" t="s">
        <v>56</v>
      </c>
      <c r="G15" t="s">
        <v>29</v>
      </c>
      <c r="H15">
        <f t="shared" si="0"/>
        <v>3200</v>
      </c>
    </row>
    <row r="16" spans="1:8" x14ac:dyDescent="0.3">
      <c r="A16" t="s">
        <v>57</v>
      </c>
      <c r="B16" t="s">
        <v>31</v>
      </c>
      <c r="C16" t="s">
        <v>9</v>
      </c>
      <c r="D16">
        <v>1</v>
      </c>
      <c r="E16">
        <v>55000</v>
      </c>
      <c r="F16" s="3" t="s">
        <v>58</v>
      </c>
      <c r="G16" t="s">
        <v>11</v>
      </c>
      <c r="H16">
        <f t="shared" si="0"/>
        <v>55000</v>
      </c>
    </row>
    <row r="17" spans="1:8" x14ac:dyDescent="0.3">
      <c r="A17" t="s">
        <v>59</v>
      </c>
      <c r="B17" t="s">
        <v>38</v>
      </c>
      <c r="C17" t="s">
        <v>32</v>
      </c>
      <c r="D17">
        <v>2</v>
      </c>
      <c r="E17">
        <v>2200</v>
      </c>
      <c r="F17" s="3" t="s">
        <v>60</v>
      </c>
      <c r="G17" t="s">
        <v>67</v>
      </c>
      <c r="H17">
        <f t="shared" si="0"/>
        <v>4400</v>
      </c>
    </row>
    <row r="18" spans="1:8" x14ac:dyDescent="0.3">
      <c r="A18" t="s">
        <v>61</v>
      </c>
      <c r="B18" t="s">
        <v>42</v>
      </c>
      <c r="C18" t="s">
        <v>19</v>
      </c>
      <c r="D18">
        <v>1</v>
      </c>
      <c r="E18">
        <v>1500</v>
      </c>
      <c r="F18" s="3" t="s">
        <v>62</v>
      </c>
      <c r="G18" t="s">
        <v>21</v>
      </c>
      <c r="H18">
        <f t="shared" si="0"/>
        <v>1500</v>
      </c>
    </row>
    <row r="19" spans="1:8" x14ac:dyDescent="0.3">
      <c r="A19" t="s">
        <v>63</v>
      </c>
      <c r="B19" t="s">
        <v>45</v>
      </c>
      <c r="C19" t="s">
        <v>14</v>
      </c>
      <c r="D19">
        <v>2</v>
      </c>
      <c r="E19">
        <v>800</v>
      </c>
      <c r="F19" s="3" t="s">
        <v>64</v>
      </c>
      <c r="G19" t="s">
        <v>47</v>
      </c>
      <c r="H19">
        <f t="shared" si="0"/>
        <v>1600</v>
      </c>
    </row>
    <row r="20" spans="1:8" x14ac:dyDescent="0.3">
      <c r="A20" t="s">
        <v>65</v>
      </c>
      <c r="B20" t="s">
        <v>49</v>
      </c>
      <c r="C20" t="s">
        <v>24</v>
      </c>
      <c r="D20">
        <v>1</v>
      </c>
      <c r="E20">
        <v>12500</v>
      </c>
      <c r="F20" s="3" t="s">
        <v>66</v>
      </c>
      <c r="G20" t="s">
        <v>29</v>
      </c>
      <c r="H20">
        <f t="shared" si="0"/>
        <v>12500</v>
      </c>
    </row>
  </sheetData>
  <autoFilter ref="A1:G20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5F81-9C91-4A50-8631-59DFA74E8F4E}">
  <dimension ref="A1:A11"/>
  <sheetViews>
    <sheetView tabSelected="1" workbookViewId="0">
      <selection activeCell="A14" sqref="A14"/>
    </sheetView>
  </sheetViews>
  <sheetFormatPr defaultRowHeight="14.4" x14ac:dyDescent="0.3"/>
  <cols>
    <col min="1" max="1" width="58.33203125" customWidth="1"/>
  </cols>
  <sheetData>
    <row r="1" spans="1:1" x14ac:dyDescent="0.3">
      <c r="A1" s="4" t="s">
        <v>79</v>
      </c>
    </row>
    <row r="3" spans="1:1" x14ac:dyDescent="0.3">
      <c r="A3" s="4" t="s">
        <v>80</v>
      </c>
    </row>
    <row r="4" spans="1:1" x14ac:dyDescent="0.3">
      <c r="A4" s="4" t="s">
        <v>82</v>
      </c>
    </row>
    <row r="5" spans="1:1" ht="57.6" x14ac:dyDescent="0.3">
      <c r="A5" s="14" t="s">
        <v>81</v>
      </c>
    </row>
    <row r="7" spans="1:1" x14ac:dyDescent="0.3">
      <c r="A7" s="4" t="s">
        <v>83</v>
      </c>
    </row>
    <row r="8" spans="1:1" x14ac:dyDescent="0.3">
      <c r="A8" s="13" t="s">
        <v>84</v>
      </c>
    </row>
    <row r="10" spans="1:1" x14ac:dyDescent="0.3">
      <c r="A10" s="4" t="s">
        <v>85</v>
      </c>
    </row>
    <row r="11" spans="1:1" ht="28.8" x14ac:dyDescent="0.3">
      <c r="A11" s="14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B60B-7912-45C0-A492-130935B629C0}">
  <dimension ref="A1:D13"/>
  <sheetViews>
    <sheetView workbookViewId="0">
      <selection activeCell="D4" sqref="D4"/>
    </sheetView>
  </sheetViews>
  <sheetFormatPr defaultRowHeight="14.4" x14ac:dyDescent="0.3"/>
  <cols>
    <col min="1" max="1" width="22.6640625" bestFit="1" customWidth="1"/>
    <col min="2" max="2" width="18.109375" bestFit="1" customWidth="1"/>
    <col min="3" max="3" width="14" bestFit="1" customWidth="1"/>
    <col min="4" max="4" width="18.109375" bestFit="1" customWidth="1"/>
  </cols>
  <sheetData>
    <row r="1" spans="1:4" x14ac:dyDescent="0.3">
      <c r="A1" s="5" t="s">
        <v>70</v>
      </c>
      <c r="B1" s="5"/>
      <c r="C1" s="5"/>
      <c r="D1" s="5"/>
    </row>
    <row r="2" spans="1:4" x14ac:dyDescent="0.3">
      <c r="A2" s="7" t="s">
        <v>71</v>
      </c>
      <c r="B2" s="7">
        <f>COUNTA('Cleaned Data'!A2:A20)</f>
        <v>19</v>
      </c>
    </row>
    <row r="3" spans="1:4" x14ac:dyDescent="0.3">
      <c r="A3" s="7" t="s">
        <v>68</v>
      </c>
      <c r="B3" s="8">
        <f>SUM('Cleaned Data'!H2:H20)</f>
        <v>312600</v>
      </c>
    </row>
    <row r="4" spans="1:4" x14ac:dyDescent="0.3">
      <c r="A4" s="7" t="s">
        <v>72</v>
      </c>
      <c r="B4" s="8">
        <f>AVERAGE('Cleaned Data'!H2:H20)</f>
        <v>16452.63157894737</v>
      </c>
    </row>
    <row r="5" spans="1:4" x14ac:dyDescent="0.3">
      <c r="A5" s="7" t="s">
        <v>73</v>
      </c>
      <c r="B5" s="7">
        <f>SUM('Cleaned Data'!D2:D20)</f>
        <v>30</v>
      </c>
    </row>
    <row r="7" spans="1:4" x14ac:dyDescent="0.3">
      <c r="A7" s="4" t="s">
        <v>75</v>
      </c>
    </row>
    <row r="8" spans="1:4" x14ac:dyDescent="0.3">
      <c r="A8" s="9" t="s">
        <v>74</v>
      </c>
      <c r="B8" s="10" t="s">
        <v>76</v>
      </c>
      <c r="C8" s="9" t="s">
        <v>77</v>
      </c>
      <c r="D8" s="9" t="s">
        <v>78</v>
      </c>
    </row>
    <row r="9" spans="1:4" x14ac:dyDescent="0.3">
      <c r="A9" s="6" t="s">
        <v>9</v>
      </c>
      <c r="B9" s="9">
        <f>SUMIF('Cleaned Data'!C:C,A9,'Cleaned Data'!D:D)</f>
        <v>4</v>
      </c>
      <c r="C9" s="11">
        <f>SUMIF('Cleaned Data'!C:C,A9,'Cleaned Data'!H:H)</f>
        <v>220000</v>
      </c>
      <c r="D9" s="9">
        <f>COUNTIF('Cleaned Data'!C:C,A9)</f>
        <v>4</v>
      </c>
    </row>
    <row r="10" spans="1:4" x14ac:dyDescent="0.3">
      <c r="A10" s="6" t="s">
        <v>14</v>
      </c>
      <c r="B10" s="9">
        <f>SUMIF('Cleaned Data'!C:C,A10,'Cleaned Data'!D:D)</f>
        <v>9</v>
      </c>
      <c r="C10" s="11">
        <f>SUMIF('Cleaned Data'!C:C,A10,'Cleaned Data'!H:H)</f>
        <v>7200</v>
      </c>
      <c r="D10" s="9">
        <f>COUNTIF('Cleaned Data'!C:C,A10)</f>
        <v>4</v>
      </c>
    </row>
    <row r="11" spans="1:4" x14ac:dyDescent="0.3">
      <c r="A11" s="6" t="s">
        <v>19</v>
      </c>
      <c r="B11" s="9">
        <f>SUMIF('Cleaned Data'!C:C,A11,'Cleaned Data'!D:D)</f>
        <v>5</v>
      </c>
      <c r="C11" s="11">
        <f>SUMIF('Cleaned Data'!C:C,A11,'Cleaned Data'!H:H)</f>
        <v>7500</v>
      </c>
      <c r="D11" s="9">
        <f>COUNTIF('Cleaned Data'!C:C,A11)</f>
        <v>4</v>
      </c>
    </row>
    <row r="12" spans="1:4" x14ac:dyDescent="0.3">
      <c r="A12" s="6" t="s">
        <v>24</v>
      </c>
      <c r="B12" s="9">
        <f>SUMIF('Cleaned Data'!C:C,A12,'Cleaned Data'!D:D)</f>
        <v>5</v>
      </c>
      <c r="C12" s="11">
        <f>SUMIF('Cleaned Data'!C:C,A12,'Cleaned Data'!H:H)</f>
        <v>62500</v>
      </c>
      <c r="D12" s="9">
        <f>COUNTIF('Cleaned Data'!C:C,A12)</f>
        <v>4</v>
      </c>
    </row>
    <row r="13" spans="1:4" x14ac:dyDescent="0.3">
      <c r="A13" s="6" t="s">
        <v>32</v>
      </c>
      <c r="B13" s="9">
        <f>SUMIF('Cleaned Data'!C:C,A13,'Cleaned Data'!D:D)</f>
        <v>7</v>
      </c>
      <c r="C13" s="11">
        <f>SUMIF('Cleaned Data'!C:C,A13,'Cleaned Data'!H:H)</f>
        <v>15400</v>
      </c>
      <c r="D13" s="9">
        <f>COUNTIF('Cleaned Data'!C:C,A13)</f>
        <v>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EF39-7EDE-4967-AF76-51868C3E9F74}">
  <dimension ref="A1:G21"/>
  <sheetViews>
    <sheetView workbookViewId="0">
      <selection activeCell="G2" sqref="G2"/>
    </sheetView>
  </sheetViews>
  <sheetFormatPr defaultRowHeight="14.4" x14ac:dyDescent="0.3"/>
  <cols>
    <col min="1" max="1" width="10" customWidth="1"/>
    <col min="2" max="2" width="15" customWidth="1"/>
    <col min="3" max="3" width="12" customWidth="1"/>
    <col min="4" max="4" width="10" customWidth="1"/>
    <col min="5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55000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2</v>
      </c>
      <c r="E3">
        <v>800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>
        <v>1</v>
      </c>
      <c r="E4">
        <v>1500</v>
      </c>
      <c r="F4" t="s">
        <v>20</v>
      </c>
      <c r="G4" t="s">
        <v>21</v>
      </c>
    </row>
    <row r="5" spans="1:7" x14ac:dyDescent="0.3">
      <c r="A5" t="s">
        <v>22</v>
      </c>
      <c r="B5" t="s">
        <v>23</v>
      </c>
      <c r="C5" t="s">
        <v>24</v>
      </c>
      <c r="D5">
        <v>2</v>
      </c>
      <c r="E5">
        <v>12500</v>
      </c>
      <c r="F5" t="s">
        <v>25</v>
      </c>
      <c r="G5" t="s">
        <v>11</v>
      </c>
    </row>
    <row r="6" spans="1:7" x14ac:dyDescent="0.3">
      <c r="A6" t="s">
        <v>26</v>
      </c>
      <c r="B6" t="s">
        <v>27</v>
      </c>
      <c r="C6" t="s">
        <v>9</v>
      </c>
      <c r="D6">
        <v>1</v>
      </c>
      <c r="E6">
        <v>55000</v>
      </c>
      <c r="F6" t="s">
        <v>28</v>
      </c>
      <c r="G6" t="s">
        <v>29</v>
      </c>
    </row>
    <row r="7" spans="1:7" x14ac:dyDescent="0.3">
      <c r="A7" t="s">
        <v>30</v>
      </c>
      <c r="B7" t="s">
        <v>31</v>
      </c>
      <c r="C7" t="s">
        <v>32</v>
      </c>
      <c r="D7">
        <v>3</v>
      </c>
      <c r="E7">
        <v>2200</v>
      </c>
      <c r="F7" t="s">
        <v>33</v>
      </c>
      <c r="G7" t="s">
        <v>11</v>
      </c>
    </row>
    <row r="8" spans="1:7" x14ac:dyDescent="0.3">
      <c r="A8" t="s">
        <v>34</v>
      </c>
      <c r="B8" t="s">
        <v>35</v>
      </c>
      <c r="C8" t="s">
        <v>14</v>
      </c>
      <c r="D8">
        <v>1</v>
      </c>
      <c r="E8">
        <v>800</v>
      </c>
      <c r="F8" t="s">
        <v>36</v>
      </c>
      <c r="G8" t="s">
        <v>11</v>
      </c>
    </row>
    <row r="9" spans="1:7" x14ac:dyDescent="0.3">
      <c r="A9" t="s">
        <v>37</v>
      </c>
      <c r="B9" t="s">
        <v>38</v>
      </c>
      <c r="C9" t="s">
        <v>19</v>
      </c>
      <c r="D9">
        <v>2</v>
      </c>
      <c r="E9">
        <v>1500</v>
      </c>
      <c r="F9" t="s">
        <v>39</v>
      </c>
      <c r="G9" t="s">
        <v>40</v>
      </c>
    </row>
    <row r="10" spans="1:7" x14ac:dyDescent="0.3">
      <c r="A10" t="s">
        <v>41</v>
      </c>
      <c r="B10" t="s">
        <v>42</v>
      </c>
      <c r="C10" t="s">
        <v>24</v>
      </c>
      <c r="D10">
        <v>1</v>
      </c>
      <c r="E10">
        <v>12500</v>
      </c>
      <c r="F10" t="s">
        <v>43</v>
      </c>
      <c r="G10" t="s">
        <v>21</v>
      </c>
    </row>
    <row r="11" spans="1:7" x14ac:dyDescent="0.3">
      <c r="A11" t="s">
        <v>44</v>
      </c>
      <c r="B11" t="s">
        <v>45</v>
      </c>
      <c r="C11" t="s">
        <v>9</v>
      </c>
      <c r="D11">
        <v>1</v>
      </c>
      <c r="E11">
        <v>55000</v>
      </c>
      <c r="F11" t="s">
        <v>46</v>
      </c>
      <c r="G11" t="s">
        <v>47</v>
      </c>
    </row>
    <row r="12" spans="1:7" x14ac:dyDescent="0.3">
      <c r="A12" t="s">
        <v>48</v>
      </c>
      <c r="B12" t="s">
        <v>49</v>
      </c>
      <c r="C12" t="s">
        <v>32</v>
      </c>
      <c r="D12">
        <v>2</v>
      </c>
      <c r="E12">
        <v>2200</v>
      </c>
      <c r="F12" t="s">
        <v>50</v>
      </c>
      <c r="G12" t="s">
        <v>29</v>
      </c>
    </row>
    <row r="13" spans="1:7" x14ac:dyDescent="0.3">
      <c r="A13" t="s">
        <v>51</v>
      </c>
      <c r="B13" t="s">
        <v>18</v>
      </c>
      <c r="C13" t="s">
        <v>19</v>
      </c>
      <c r="D13">
        <v>1</v>
      </c>
      <c r="E13">
        <v>1500</v>
      </c>
      <c r="F13" t="s">
        <v>52</v>
      </c>
      <c r="G13" t="s">
        <v>21</v>
      </c>
    </row>
    <row r="14" spans="1:7" x14ac:dyDescent="0.3">
      <c r="A14" t="s">
        <v>53</v>
      </c>
      <c r="B14" t="s">
        <v>23</v>
      </c>
      <c r="C14" t="s">
        <v>24</v>
      </c>
      <c r="D14">
        <v>1</v>
      </c>
      <c r="E14">
        <v>12500</v>
      </c>
      <c r="F14" t="s">
        <v>54</v>
      </c>
      <c r="G14" t="s">
        <v>11</v>
      </c>
    </row>
    <row r="15" spans="1:7" x14ac:dyDescent="0.3">
      <c r="A15" t="s">
        <v>55</v>
      </c>
      <c r="B15" t="s">
        <v>27</v>
      </c>
      <c r="C15" t="s">
        <v>14</v>
      </c>
      <c r="D15">
        <v>4</v>
      </c>
      <c r="E15">
        <v>800</v>
      </c>
      <c r="F15" t="s">
        <v>56</v>
      </c>
      <c r="G15" t="s">
        <v>29</v>
      </c>
    </row>
    <row r="16" spans="1:7" x14ac:dyDescent="0.3">
      <c r="A16" t="s">
        <v>57</v>
      </c>
      <c r="B16" t="s">
        <v>31</v>
      </c>
      <c r="C16" t="s">
        <v>9</v>
      </c>
      <c r="D16">
        <v>1</v>
      </c>
      <c r="E16">
        <v>55000</v>
      </c>
      <c r="F16" t="s">
        <v>58</v>
      </c>
      <c r="G16" t="s">
        <v>11</v>
      </c>
    </row>
    <row r="17" spans="1:7" x14ac:dyDescent="0.3">
      <c r="A17" t="s">
        <v>57</v>
      </c>
      <c r="B17" t="s">
        <v>31</v>
      </c>
      <c r="C17" t="s">
        <v>9</v>
      </c>
      <c r="D17">
        <v>1</v>
      </c>
      <c r="E17">
        <v>55000</v>
      </c>
      <c r="F17" t="s">
        <v>58</v>
      </c>
      <c r="G17" t="s">
        <v>11</v>
      </c>
    </row>
    <row r="18" spans="1:7" x14ac:dyDescent="0.3">
      <c r="A18" t="s">
        <v>59</v>
      </c>
      <c r="B18" t="s">
        <v>38</v>
      </c>
      <c r="C18" t="s">
        <v>32</v>
      </c>
      <c r="D18">
        <v>2</v>
      </c>
      <c r="E18">
        <v>2200</v>
      </c>
      <c r="F18" t="s">
        <v>60</v>
      </c>
      <c r="G18" t="s">
        <v>40</v>
      </c>
    </row>
    <row r="19" spans="1:7" x14ac:dyDescent="0.3">
      <c r="A19" t="s">
        <v>61</v>
      </c>
      <c r="B19" t="s">
        <v>42</v>
      </c>
      <c r="C19" t="s">
        <v>19</v>
      </c>
      <c r="D19">
        <v>1</v>
      </c>
      <c r="E19">
        <v>1500</v>
      </c>
      <c r="F19" t="s">
        <v>62</v>
      </c>
      <c r="G19" t="s">
        <v>21</v>
      </c>
    </row>
    <row r="20" spans="1:7" x14ac:dyDescent="0.3">
      <c r="A20" t="s">
        <v>63</v>
      </c>
      <c r="B20" t="s">
        <v>45</v>
      </c>
      <c r="C20" t="s">
        <v>14</v>
      </c>
      <c r="D20">
        <v>2</v>
      </c>
      <c r="E20">
        <v>800</v>
      </c>
      <c r="F20" t="s">
        <v>64</v>
      </c>
      <c r="G20" t="s">
        <v>47</v>
      </c>
    </row>
    <row r="21" spans="1:7" x14ac:dyDescent="0.3">
      <c r="A21" t="s">
        <v>65</v>
      </c>
      <c r="B21" t="s">
        <v>49</v>
      </c>
      <c r="C21" t="s">
        <v>24</v>
      </c>
      <c r="D21">
        <v>1</v>
      </c>
      <c r="E21">
        <v>12500</v>
      </c>
      <c r="F21" t="s">
        <v>66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Project Info</vt:lpstr>
      <vt:lpstr>Sales Summary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bapathiswarnalatha@outlook.com</cp:lastModifiedBy>
  <dcterms:created xsi:type="dcterms:W3CDTF">2026-09-26T16:51:00Z</dcterms:created>
  <dcterms:modified xsi:type="dcterms:W3CDTF">2026-09-27T10:55:46Z</dcterms:modified>
</cp:coreProperties>
</file>