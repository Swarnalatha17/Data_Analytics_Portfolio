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warna\Downloads\"/>
    </mc:Choice>
  </mc:AlternateContent>
  <xr:revisionPtr revIDLastSave="0" documentId="8_{CC98AA17-465E-4415-92A8-DC327C3840DD}" xr6:coauthVersionLast="47" xr6:coauthVersionMax="47" xr10:uidLastSave="{00000000-0000-0000-0000-000000000000}"/>
  <bookViews>
    <workbookView xWindow="-96" yWindow="0" windowWidth="11712" windowHeight="12336" firstSheet="1" activeTab="1" xr2:uid="{00000000-000D-0000-FFFF-FFFF00000000}"/>
  </bookViews>
  <sheets>
    <sheet name="Sales by Payment Method" sheetId="7" r:id="rId1"/>
    <sheet name="Project Info" sheetId="10" r:id="rId2"/>
    <sheet name="Sales by Product" sheetId="6" r:id="rId3"/>
    <sheet name="E-commerce Dashboard" sheetId="8" r:id="rId4"/>
    <sheet name="Monthly Sales Trend" sheetId="5" r:id="rId5"/>
    <sheet name="Sales by Category" sheetId="4" r:id="rId6"/>
    <sheet name="Sales by Region" sheetId="3" r:id="rId7"/>
    <sheet name="Raw Data" sheetId="1" r:id="rId8"/>
    <sheet name="Dataset Info" sheetId="2" r:id="rId9"/>
  </sheets>
  <definedNames>
    <definedName name="_xlnm._FilterDatabase" localSheetId="7" hidden="1">'Raw Data'!$K$1:$K$1201</definedName>
  </definedNames>
  <calcPr calcId="191029"/>
  <pivotCaches>
    <pivotCache cacheId="13" r:id="rId10"/>
    <pivotCache cacheId="1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8" l="1"/>
  <c r="D5" i="8"/>
  <c r="B5" i="8"/>
  <c r="G3" i="8"/>
  <c r="J3" i="8"/>
  <c r="D3" i="8"/>
  <c r="B3" i="8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2" i="1"/>
</calcChain>
</file>

<file path=xl/sharedStrings.xml><?xml version="1.0" encoding="utf-8"?>
<sst xmlns="http://schemas.openxmlformats.org/spreadsheetml/2006/main" count="9688" uniqueCount="1732">
  <si>
    <t>Order ID</t>
  </si>
  <si>
    <t>Customer ID</t>
  </si>
  <si>
    <t>Order Date</t>
  </si>
  <si>
    <t>Region</t>
  </si>
  <si>
    <t>City</t>
  </si>
  <si>
    <t>Category</t>
  </si>
  <si>
    <t>Product</t>
  </si>
  <si>
    <t>Quantity</t>
  </si>
  <si>
    <t>Unit Price</t>
  </si>
  <si>
    <t>Payment Method</t>
  </si>
  <si>
    <t>Order Status</t>
  </si>
  <si>
    <t>Total Sales</t>
  </si>
  <si>
    <t>ORD10001</t>
  </si>
  <si>
    <t>CUST0088</t>
  </si>
  <si>
    <t>South</t>
  </si>
  <si>
    <t>Vijayawada</t>
  </si>
  <si>
    <t>Home &amp; Kitchen</t>
  </si>
  <si>
    <t>Table Lamp</t>
  </si>
  <si>
    <t>UPI</t>
  </si>
  <si>
    <t>Delivered</t>
  </si>
  <si>
    <t>ORD10002</t>
  </si>
  <si>
    <t>CUST0161</t>
  </si>
  <si>
    <t>Bengaluru</t>
  </si>
  <si>
    <t>Electronics</t>
  </si>
  <si>
    <t>Monitor</t>
  </si>
  <si>
    <t>Returned</t>
  </si>
  <si>
    <t>ORD10003</t>
  </si>
  <si>
    <t>CUST0190</t>
  </si>
  <si>
    <t>Chennai</t>
  </si>
  <si>
    <t>Fashion</t>
  </si>
  <si>
    <t>Backpack</t>
  </si>
  <si>
    <t>ORD10004</t>
  </si>
  <si>
    <t>CUST0274</t>
  </si>
  <si>
    <t>North</t>
  </si>
  <si>
    <t>Chandigarh</t>
  </si>
  <si>
    <t>Debit Card</t>
  </si>
  <si>
    <t>ORD10005</t>
  </si>
  <si>
    <t>CUST0264</t>
  </si>
  <si>
    <t>Jaipur</t>
  </si>
  <si>
    <t>Sports</t>
  </si>
  <si>
    <t>Cricket Bat</t>
  </si>
  <si>
    <t>Credit Card</t>
  </si>
  <si>
    <t>ORD10006</t>
  </si>
  <si>
    <t>CUST0191</t>
  </si>
  <si>
    <t>Running Shoes</t>
  </si>
  <si>
    <t>ORD10007</t>
  </si>
  <si>
    <t>East</t>
  </si>
  <si>
    <t>Bhubaneswar</t>
  </si>
  <si>
    <t>Air Fryer</t>
  </si>
  <si>
    <t>ORD10008</t>
  </si>
  <si>
    <t>CUST0157</t>
  </si>
  <si>
    <t>Hyderabad</t>
  </si>
  <si>
    <t>Dumbbells</t>
  </si>
  <si>
    <t>ORD10009</t>
  </si>
  <si>
    <t>CUST0392</t>
  </si>
  <si>
    <t>Guwahati</t>
  </si>
  <si>
    <t>Laptop</t>
  </si>
  <si>
    <t>ORD10010</t>
  </si>
  <si>
    <t>CUST0033</t>
  </si>
  <si>
    <t>Beauty</t>
  </si>
  <si>
    <t>Moisturizer</t>
  </si>
  <si>
    <t>Cash on Delivery</t>
  </si>
  <si>
    <t>ORD10011</t>
  </si>
  <si>
    <t>CUST0131</t>
  </si>
  <si>
    <t>West</t>
  </si>
  <si>
    <t>Surat</t>
  </si>
  <si>
    <t>ORD10012</t>
  </si>
  <si>
    <t>CUST0241</t>
  </si>
  <si>
    <t>Lucknow</t>
  </si>
  <si>
    <t>Cancelled</t>
  </si>
  <si>
    <t>ORD10013</t>
  </si>
  <si>
    <t>CUST0327</t>
  </si>
  <si>
    <t>Patna</t>
  </si>
  <si>
    <t>ORD10014</t>
  </si>
  <si>
    <t>CUST0340</t>
  </si>
  <si>
    <t>Kolkata</t>
  </si>
  <si>
    <t>ORD10015</t>
  </si>
  <si>
    <t>CUST0116</t>
  </si>
  <si>
    <t>ORD10016</t>
  </si>
  <si>
    <t>CUST0160</t>
  </si>
  <si>
    <t>Delhi</t>
  </si>
  <si>
    <t>Water Bottle</t>
  </si>
  <si>
    <t>ORD10017</t>
  </si>
  <si>
    <t>CUST0101</t>
  </si>
  <si>
    <t>ORD10018</t>
  </si>
  <si>
    <t>CUST0126</t>
  </si>
  <si>
    <t>Pune</t>
  </si>
  <si>
    <t>Football</t>
  </si>
  <si>
    <t>ORD10019</t>
  </si>
  <si>
    <t>CUST0294</t>
  </si>
  <si>
    <t>Jeans</t>
  </si>
  <si>
    <t>ORD10020</t>
  </si>
  <si>
    <t>CUST0349</t>
  </si>
  <si>
    <t>Ahmedabad</t>
  </si>
  <si>
    <t>ORD10021</t>
  </si>
  <si>
    <t>CUST0417</t>
  </si>
  <si>
    <t>Sneakers</t>
  </si>
  <si>
    <t>ORD10022</t>
  </si>
  <si>
    <t>CUST0252</t>
  </si>
  <si>
    <t>Mumbai</t>
  </si>
  <si>
    <t>T-Shirt</t>
  </si>
  <si>
    <t>ORD10023</t>
  </si>
  <si>
    <t>CUST0009</t>
  </si>
  <si>
    <t>Face Wash</t>
  </si>
  <si>
    <t>ORD10024</t>
  </si>
  <si>
    <t>CUST0422</t>
  </si>
  <si>
    <t>ORD10025</t>
  </si>
  <si>
    <t>CUST0310</t>
  </si>
  <si>
    <t>ORD10026</t>
  </si>
  <si>
    <t>ORD10027</t>
  </si>
  <si>
    <t>CUST0365</t>
  </si>
  <si>
    <t>ORD10028</t>
  </si>
  <si>
    <t>CUST0317</t>
  </si>
  <si>
    <t>ORD10029</t>
  </si>
  <si>
    <t>CUST0099</t>
  </si>
  <si>
    <t>Net Banking</t>
  </si>
  <si>
    <t>ORD10030</t>
  </si>
  <si>
    <t>CUST0416</t>
  </si>
  <si>
    <t>ORD10031</t>
  </si>
  <si>
    <t>CUST0431</t>
  </si>
  <si>
    <t>ORD10032</t>
  </si>
  <si>
    <t>CUST0170</t>
  </si>
  <si>
    <t>ORD10033</t>
  </si>
  <si>
    <t>ORD10034</t>
  </si>
  <si>
    <t>CUST0125</t>
  </si>
  <si>
    <t>ORD10035</t>
  </si>
  <si>
    <t>CUST0060</t>
  </si>
  <si>
    <t>Shipped</t>
  </si>
  <si>
    <t>ORD10036</t>
  </si>
  <si>
    <t>CUST0269</t>
  </si>
  <si>
    <t>ORD10037</t>
  </si>
  <si>
    <t>CUST0318</t>
  </si>
  <si>
    <t>ORD10038</t>
  </si>
  <si>
    <t>CUST0089</t>
  </si>
  <si>
    <t>Cookware Set</t>
  </si>
  <si>
    <t>ORD10039</t>
  </si>
  <si>
    <t>CUST0435</t>
  </si>
  <si>
    <t>Headphones</t>
  </si>
  <si>
    <t>ORD10040</t>
  </si>
  <si>
    <t>CUST0432</t>
  </si>
  <si>
    <t>Keyboard</t>
  </si>
  <si>
    <t>ORD10041</t>
  </si>
  <si>
    <t>CUST0223</t>
  </si>
  <si>
    <t>Mixer Grinder</t>
  </si>
  <si>
    <t>ORD10042</t>
  </si>
  <si>
    <t>CUST0384</t>
  </si>
  <si>
    <t>Yoga Mat</t>
  </si>
  <si>
    <t>ORD10043</t>
  </si>
  <si>
    <t>CUST0065</t>
  </si>
  <si>
    <t>ORD10044</t>
  </si>
  <si>
    <t>CUST0337</t>
  </si>
  <si>
    <t>ORD10045</t>
  </si>
  <si>
    <t>CUST0075</t>
  </si>
  <si>
    <t>ORD10046</t>
  </si>
  <si>
    <t>CUST0096</t>
  </si>
  <si>
    <t>ORD10047</t>
  </si>
  <si>
    <t>CUST0062</t>
  </si>
  <si>
    <t>ORD10048</t>
  </si>
  <si>
    <t>CUST0284</t>
  </si>
  <si>
    <t>ORD10049</t>
  </si>
  <si>
    <t>CUST0053</t>
  </si>
  <si>
    <t>ORD10050</t>
  </si>
  <si>
    <t>CUST0235</t>
  </si>
  <si>
    <t>Hair Dryer</t>
  </si>
  <si>
    <t>ORD10051</t>
  </si>
  <si>
    <t>ORD10052</t>
  </si>
  <si>
    <t>ORD10053</t>
  </si>
  <si>
    <t>CUST0019</t>
  </si>
  <si>
    <t>ORD10054</t>
  </si>
  <si>
    <t>CUST0423</t>
  </si>
  <si>
    <t>ORD10055</t>
  </si>
  <si>
    <t>CUST0058</t>
  </si>
  <si>
    <t>ORD10056</t>
  </si>
  <si>
    <t>CUST0147</t>
  </si>
  <si>
    <t>ORD10057</t>
  </si>
  <si>
    <t>CUST0441</t>
  </si>
  <si>
    <t>ORD10058</t>
  </si>
  <si>
    <t>CUST0178</t>
  </si>
  <si>
    <t>ORD10059</t>
  </si>
  <si>
    <t>CUST0220</t>
  </si>
  <si>
    <t>ORD10060</t>
  </si>
  <si>
    <t>CUST0286</t>
  </si>
  <si>
    <t>ORD10061</t>
  </si>
  <si>
    <t>CUST0282</t>
  </si>
  <si>
    <t>Watch</t>
  </si>
  <si>
    <t>ORD10062</t>
  </si>
  <si>
    <t>CUST0311</t>
  </si>
  <si>
    <t>ORD10063</t>
  </si>
  <si>
    <t>CUST0083</t>
  </si>
  <si>
    <t>ORD10064</t>
  </si>
  <si>
    <t>CUST0034</t>
  </si>
  <si>
    <t>ORD10065</t>
  </si>
  <si>
    <t>CUST0389</t>
  </si>
  <si>
    <t>Smartphone</t>
  </si>
  <si>
    <t>ORD10066</t>
  </si>
  <si>
    <t>CUST0103</t>
  </si>
  <si>
    <t>ORD10067</t>
  </si>
  <si>
    <t>CUST0335</t>
  </si>
  <si>
    <t>ORD10068</t>
  </si>
  <si>
    <t>CUST0069</t>
  </si>
  <si>
    <t>ORD10069</t>
  </si>
  <si>
    <t>CUST0336</t>
  </si>
  <si>
    <t>ORD10070</t>
  </si>
  <si>
    <t>CUST0061</t>
  </si>
  <si>
    <t>ORD10071</t>
  </si>
  <si>
    <t>CUST0012</t>
  </si>
  <si>
    <t>ORD10072</t>
  </si>
  <si>
    <t>CUST0056</t>
  </si>
  <si>
    <t>ORD10073</t>
  </si>
  <si>
    <t>CUST0127</t>
  </si>
  <si>
    <t>ORD10074</t>
  </si>
  <si>
    <t>CUST0007</t>
  </si>
  <si>
    <t>ORD10075</t>
  </si>
  <si>
    <t>CUST0119</t>
  </si>
  <si>
    <t>ORD10076</t>
  </si>
  <si>
    <t>CUST0068</t>
  </si>
  <si>
    <t>ORD10077</t>
  </si>
  <si>
    <t>CUST0042</t>
  </si>
  <si>
    <t>ORD10078</t>
  </si>
  <si>
    <t>CUST0150</t>
  </si>
  <si>
    <t>ORD10079</t>
  </si>
  <si>
    <t>CUST0243</t>
  </si>
  <si>
    <t>ORD10080</t>
  </si>
  <si>
    <t>CUST0369</t>
  </si>
  <si>
    <t>ORD10081</t>
  </si>
  <si>
    <t>CUST0326</t>
  </si>
  <si>
    <t>ORD10082</t>
  </si>
  <si>
    <t>CUST0382</t>
  </si>
  <si>
    <t>Perfume</t>
  </si>
  <si>
    <t>ORD10083</t>
  </si>
  <si>
    <t>CUST0386</t>
  </si>
  <si>
    <t>ORD10084</t>
  </si>
  <si>
    <t>CUST0419</t>
  </si>
  <si>
    <t>ORD10085</t>
  </si>
  <si>
    <t>CUST0035</t>
  </si>
  <si>
    <t>ORD10086</t>
  </si>
  <si>
    <t>CUST0165</t>
  </si>
  <si>
    <t>ORD10087</t>
  </si>
  <si>
    <t>CUST0014</t>
  </si>
  <si>
    <t>CUST0309</t>
  </si>
  <si>
    <t>ORD10089</t>
  </si>
  <si>
    <t>ORD10090</t>
  </si>
  <si>
    <t>CUST0196</t>
  </si>
  <si>
    <t>ORD10091</t>
  </si>
  <si>
    <t>CUST0436</t>
  </si>
  <si>
    <t>ORD10092</t>
  </si>
  <si>
    <t>CUST0292</t>
  </si>
  <si>
    <t>ORD10093</t>
  </si>
  <si>
    <t>CUST0302</t>
  </si>
  <si>
    <t>ORD10094</t>
  </si>
  <si>
    <t>CUST0356</t>
  </si>
  <si>
    <t>ORD10095</t>
  </si>
  <si>
    <t>CUST0296</t>
  </si>
  <si>
    <t>ORD10096</t>
  </si>
  <si>
    <t>CUST0438</t>
  </si>
  <si>
    <t>ORD10097</t>
  </si>
  <si>
    <t>CUST0063</t>
  </si>
  <si>
    <t>ORD10098</t>
  </si>
  <si>
    <t>CUST0364</t>
  </si>
  <si>
    <t>ORD10099</t>
  </si>
  <si>
    <t>CUST0154</t>
  </si>
  <si>
    <t>ORD10100</t>
  </si>
  <si>
    <t>CUST0360</t>
  </si>
  <si>
    <t>ORD10101</t>
  </si>
  <si>
    <t>CUST0429</t>
  </si>
  <si>
    <t>ORD10102</t>
  </si>
  <si>
    <t>CUST0222</t>
  </si>
  <si>
    <t>ORD10103</t>
  </si>
  <si>
    <t>CUST0162</t>
  </si>
  <si>
    <t>ORD10104</t>
  </si>
  <si>
    <t>CUST0328</t>
  </si>
  <si>
    <t>ORD10105</t>
  </si>
  <si>
    <t>CUST0288</t>
  </si>
  <si>
    <t>ORD10106</t>
  </si>
  <si>
    <t>CUST0263</t>
  </si>
  <si>
    <t>ORD10107</t>
  </si>
  <si>
    <t>CUST0404</t>
  </si>
  <si>
    <t>ORD10108</t>
  </si>
  <si>
    <t>CUST0226</t>
  </si>
  <si>
    <t>ORD10109</t>
  </si>
  <si>
    <t>CUST0128</t>
  </si>
  <si>
    <t>ORD10110</t>
  </si>
  <si>
    <t>ORD10111</t>
  </si>
  <si>
    <t>CUST0041</t>
  </si>
  <si>
    <t>ORD10112</t>
  </si>
  <si>
    <t>CUST0134</t>
  </si>
  <si>
    <t>ORD10113</t>
  </si>
  <si>
    <t>CUST0122</t>
  </si>
  <si>
    <t>ORD10114</t>
  </si>
  <si>
    <t>ORD10115</t>
  </si>
  <si>
    <t>ORD10116</t>
  </si>
  <si>
    <t>CUST0201</t>
  </si>
  <si>
    <t>ORD10117</t>
  </si>
  <si>
    <t>CUST0291</t>
  </si>
  <si>
    <t>ORD10118</t>
  </si>
  <si>
    <t>CUST0305</t>
  </si>
  <si>
    <t>ORD10119</t>
  </si>
  <si>
    <t>CUST0374</t>
  </si>
  <si>
    <t>ORD10120</t>
  </si>
  <si>
    <t>CUST0016</t>
  </si>
  <si>
    <t>ORD10121</t>
  </si>
  <si>
    <t>ORD10122</t>
  </si>
  <si>
    <t>CUST0159</t>
  </si>
  <si>
    <t>ORD10123</t>
  </si>
  <si>
    <t>CUST0015</t>
  </si>
  <si>
    <t>ORD10125</t>
  </si>
  <si>
    <t>CUST0177</t>
  </si>
  <si>
    <t>ORD10127</t>
  </si>
  <si>
    <t>CUST0399</t>
  </si>
  <si>
    <t>ORD10128</t>
  </si>
  <si>
    <t>CUST0319</t>
  </si>
  <si>
    <t>ORD10129</t>
  </si>
  <si>
    <t>CUST0373</t>
  </si>
  <si>
    <t>ORD10130</t>
  </si>
  <si>
    <t>CUST0261</t>
  </si>
  <si>
    <t>ORD10131</t>
  </si>
  <si>
    <t>ORD10132</t>
  </si>
  <si>
    <t>CUST0267</t>
  </si>
  <si>
    <t>ORD10133</t>
  </si>
  <si>
    <t>CUST0025</t>
  </si>
  <si>
    <t>ORD10134</t>
  </si>
  <si>
    <t>CUST0037</t>
  </si>
  <si>
    <t>Shampoo</t>
  </si>
  <si>
    <t>ORD10135</t>
  </si>
  <si>
    <t>CUST0323</t>
  </si>
  <si>
    <t>ORD10136</t>
  </si>
  <si>
    <t>CUST0059</t>
  </si>
  <si>
    <t>ORD10137</t>
  </si>
  <si>
    <t>ORD10138</t>
  </si>
  <si>
    <t>ORD10139</t>
  </si>
  <si>
    <t>ORD10140</t>
  </si>
  <si>
    <t>CUST0412</t>
  </si>
  <si>
    <t>ORD10141</t>
  </si>
  <si>
    <t>ORD10142</t>
  </si>
  <si>
    <t>CUST0381</t>
  </si>
  <si>
    <t>ORD10143</t>
  </si>
  <si>
    <t>ORD10144</t>
  </si>
  <si>
    <t>CUST0175</t>
  </si>
  <si>
    <t>ORD10145</t>
  </si>
  <si>
    <t>CUST0443</t>
  </si>
  <si>
    <t>ORD10146</t>
  </si>
  <si>
    <t>CUST0320</t>
  </si>
  <si>
    <t>ORD10147</t>
  </si>
  <si>
    <t>CUST0008</t>
  </si>
  <si>
    <t>ORD10148</t>
  </si>
  <si>
    <t>ORD10149</t>
  </si>
  <si>
    <t>CUST0117</t>
  </si>
  <si>
    <t>ORD10150</t>
  </si>
  <si>
    <t>CUST0032</t>
  </si>
  <si>
    <t>ORD10151</t>
  </si>
  <si>
    <t>CUST0377</t>
  </si>
  <si>
    <t>ORD10152</t>
  </si>
  <si>
    <t>CUST0233</t>
  </si>
  <si>
    <t>ORD10153</t>
  </si>
  <si>
    <t>ORD10154</t>
  </si>
  <si>
    <t>ORD10155</t>
  </si>
  <si>
    <t>CUST0022</t>
  </si>
  <si>
    <t>ORD10156</t>
  </si>
  <si>
    <t>ORD10157</t>
  </si>
  <si>
    <t>CUST0402</t>
  </si>
  <si>
    <t>ORD10158</t>
  </si>
  <si>
    <t>CUST0353</t>
  </si>
  <si>
    <t>ORD10159</t>
  </si>
  <si>
    <t>CUST0444</t>
  </si>
  <si>
    <t>ORD10160</t>
  </si>
  <si>
    <t>CUST0420</t>
  </si>
  <si>
    <t>ORD10161</t>
  </si>
  <si>
    <t>CUST0225</t>
  </si>
  <si>
    <t>ORD10162</t>
  </si>
  <si>
    <t>ORD10163</t>
  </si>
  <si>
    <t>CUST0379</t>
  </si>
  <si>
    <t>ORD10164</t>
  </si>
  <si>
    <t>CUST0303</t>
  </si>
  <si>
    <t>ORD10165</t>
  </si>
  <si>
    <t>CUST0276</t>
  </si>
  <si>
    <t>ORD10166</t>
  </si>
  <si>
    <t>ORD10167</t>
  </si>
  <si>
    <t>CUST0130</t>
  </si>
  <si>
    <t>ORD10168</t>
  </si>
  <si>
    <t>CUST0206</t>
  </si>
  <si>
    <t>ORD10169</t>
  </si>
  <si>
    <t>ORD10170</t>
  </si>
  <si>
    <t>CUST0234</t>
  </si>
  <si>
    <t>ORD10171</t>
  </si>
  <si>
    <t>ORD10172</t>
  </si>
  <si>
    <t>ORD10173</t>
  </si>
  <si>
    <t>ORD10174</t>
  </si>
  <si>
    <t>CUST0324</t>
  </si>
  <si>
    <t>ORD10175</t>
  </si>
  <si>
    <t>CUST0129</t>
  </si>
  <si>
    <t>ORD10176</t>
  </si>
  <si>
    <t>ORD10177</t>
  </si>
  <si>
    <t>CUST0265</t>
  </si>
  <si>
    <t>ORD10178</t>
  </si>
  <si>
    <t>CUST0300</t>
  </si>
  <si>
    <t>ORD10179</t>
  </si>
  <si>
    <t>CUST0124</t>
  </si>
  <si>
    <t>ORD10180</t>
  </si>
  <si>
    <t>ORD10181</t>
  </si>
  <si>
    <t>CUST0077</t>
  </si>
  <si>
    <t>ORD10182</t>
  </si>
  <si>
    <t>CUST0426</t>
  </si>
  <si>
    <t>ORD10183</t>
  </si>
  <si>
    <t>CUST0141</t>
  </si>
  <si>
    <t>ORD10184</t>
  </si>
  <si>
    <t>CUST0152</t>
  </si>
  <si>
    <t>ORD10185</t>
  </si>
  <si>
    <t>CUST0403</t>
  </si>
  <si>
    <t>ORD10186</t>
  </si>
  <si>
    <t>ORD10187</t>
  </si>
  <si>
    <t>CUST0258</t>
  </si>
  <si>
    <t>ORD10188</t>
  </si>
  <si>
    <t>CUST0188</t>
  </si>
  <si>
    <t>ORD10189</t>
  </si>
  <si>
    <t>CUST0387</t>
  </si>
  <si>
    <t>ORD10190</t>
  </si>
  <si>
    <t>CUST0027</t>
  </si>
  <si>
    <t>ORD10191</t>
  </si>
  <si>
    <t>ORD10192</t>
  </si>
  <si>
    <t>CUST0287</t>
  </si>
  <si>
    <t>ORD10193</t>
  </si>
  <si>
    <t>CUST0003</t>
  </si>
  <si>
    <t>ORD10194</t>
  </si>
  <si>
    <t>CUST0149</t>
  </si>
  <si>
    <t>ORD10195</t>
  </si>
  <si>
    <t>CUST0142</t>
  </si>
  <si>
    <t>ORD10196</t>
  </si>
  <si>
    <t>CUST0180</t>
  </si>
  <si>
    <t>ORD10197</t>
  </si>
  <si>
    <t>ORD10198</t>
  </si>
  <si>
    <t>ORD10199</t>
  </si>
  <si>
    <t>ORD10200</t>
  </si>
  <si>
    <t>CUST0425</t>
  </si>
  <si>
    <t>ORD10201</t>
  </si>
  <si>
    <t>ORD10202</t>
  </si>
  <si>
    <t>CUST0151</t>
  </si>
  <si>
    <t>ORD10203</t>
  </si>
  <si>
    <t>ORD10204</t>
  </si>
  <si>
    <t>CUST0040</t>
  </si>
  <si>
    <t>ORD10205</t>
  </si>
  <si>
    <t>ORD10206</t>
  </si>
  <si>
    <t>CUST0183</t>
  </si>
  <si>
    <t>ORD10207</t>
  </si>
  <si>
    <t>CUST0213</t>
  </si>
  <si>
    <t>ORD10208</t>
  </si>
  <si>
    <t>ORD10209</t>
  </si>
  <si>
    <t>ORD10210</t>
  </si>
  <si>
    <t>CUST0029</t>
  </si>
  <si>
    <t>ORD10211</t>
  </si>
  <si>
    <t>CUST0200</t>
  </si>
  <si>
    <t>ORD10212</t>
  </si>
  <si>
    <t>CUST0087</t>
  </si>
  <si>
    <t>ORD10213</t>
  </si>
  <si>
    <t>CUST0228</t>
  </si>
  <si>
    <t>ORD10214</t>
  </si>
  <si>
    <t>ORD10215</t>
  </si>
  <si>
    <t>CUST0049</t>
  </si>
  <si>
    <t>ORD10216</t>
  </si>
  <si>
    <t>CUST0347</t>
  </si>
  <si>
    <t>ORD10217</t>
  </si>
  <si>
    <t>CUST0424</t>
  </si>
  <si>
    <t>ORD10218</t>
  </si>
  <si>
    <t>ORD10219</t>
  </si>
  <si>
    <t>ORD10220</t>
  </si>
  <si>
    <t>ORD10221</t>
  </si>
  <si>
    <t>CUST0421</t>
  </si>
  <si>
    <t>ORD10222</t>
  </si>
  <si>
    <t>CUST0229</t>
  </si>
  <si>
    <t>ORD10223</t>
  </si>
  <si>
    <t>ORD10224</t>
  </si>
  <si>
    <t>CUST0393</t>
  </si>
  <si>
    <t>ORD10225</t>
  </si>
  <si>
    <t>CUST0400</t>
  </si>
  <si>
    <t>ORD10226</t>
  </si>
  <si>
    <t>ORD10227</t>
  </si>
  <si>
    <t>CUST0004</t>
  </si>
  <si>
    <t>ORD10228</t>
  </si>
  <si>
    <t>ORD10229</t>
  </si>
  <si>
    <t>ORD10230</t>
  </si>
  <si>
    <t>CUST0251</t>
  </si>
  <si>
    <t>ORD10231</t>
  </si>
  <si>
    <t>CUST0198</t>
  </si>
  <si>
    <t>ORD10232</t>
  </si>
  <si>
    <t>CUST0107</t>
  </si>
  <si>
    <t>ORD10233</t>
  </si>
  <si>
    <t>ORD10234</t>
  </si>
  <si>
    <t>CUST0295</t>
  </si>
  <si>
    <t>ORD10235</t>
  </si>
  <si>
    <t>CUST0036</t>
  </si>
  <si>
    <t>ORD10236</t>
  </si>
  <si>
    <t>ORD10237</t>
  </si>
  <si>
    <t>CUST0363</t>
  </si>
  <si>
    <t>ORD10238</t>
  </si>
  <si>
    <t>CUST0143</t>
  </si>
  <si>
    <t>ORD10239</t>
  </si>
  <si>
    <t>ORD10240</t>
  </si>
  <si>
    <t>ORD10241</t>
  </si>
  <si>
    <t>CUST0043</t>
  </si>
  <si>
    <t>ORD10242</t>
  </si>
  <si>
    <t>ORD10243</t>
  </si>
  <si>
    <t>ORD10244</t>
  </si>
  <si>
    <t>CUST0372</t>
  </si>
  <si>
    <t>ORD10245</t>
  </si>
  <si>
    <t>CUST0026</t>
  </si>
  <si>
    <t>ORD10246</t>
  </si>
  <si>
    <t>ORD10247</t>
  </si>
  <si>
    <t>CUST0085</t>
  </si>
  <si>
    <t>ORD10248</t>
  </si>
  <si>
    <t>CUST0283</t>
  </si>
  <si>
    <t>ORD10249</t>
  </si>
  <si>
    <t>CUST0260</t>
  </si>
  <si>
    <t>ORD10250</t>
  </si>
  <si>
    <t>CUST0158</t>
  </si>
  <si>
    <t>ORD10251</t>
  </si>
  <si>
    <t>ORD10252</t>
  </si>
  <si>
    <t>ORD10253</t>
  </si>
  <si>
    <t>CUST0076</t>
  </si>
  <si>
    <t>ORD10254</t>
  </si>
  <si>
    <t>ORD10255</t>
  </si>
  <si>
    <t>ORD10256</t>
  </si>
  <si>
    <t>CUST0001</t>
  </si>
  <si>
    <t>ORD10257</t>
  </si>
  <si>
    <t>CUST0437</t>
  </si>
  <si>
    <t>ORD10258</t>
  </si>
  <si>
    <t>ORD10259</t>
  </si>
  <si>
    <t>ORD10260</t>
  </si>
  <si>
    <t>ORD10261</t>
  </si>
  <si>
    <t>CUST0375</t>
  </si>
  <si>
    <t>ORD10262</t>
  </si>
  <si>
    <t>ORD10263</t>
  </si>
  <si>
    <t>ORD10264</t>
  </si>
  <si>
    <t>ORD10265</t>
  </si>
  <si>
    <t>ORD10266</t>
  </si>
  <si>
    <t>CUST0174</t>
  </si>
  <si>
    <t>ORD10267</t>
  </si>
  <si>
    <t>CUST0179</t>
  </si>
  <si>
    <t>ORD10268</t>
  </si>
  <si>
    <t>ORD10269</t>
  </si>
  <si>
    <t>CUST0449</t>
  </si>
  <si>
    <t>ORD10270</t>
  </si>
  <si>
    <t>ORD10271</t>
  </si>
  <si>
    <t>ORD10272</t>
  </si>
  <si>
    <t>ORD10273</t>
  </si>
  <si>
    <t>CUST0332</t>
  </si>
  <si>
    <t>ORD10274</t>
  </si>
  <si>
    <t>ORD10275</t>
  </si>
  <si>
    <t>ORD10276</t>
  </si>
  <si>
    <t>CUST0447</t>
  </si>
  <si>
    <t>ORD10277</t>
  </si>
  <si>
    <t>CUST0028</t>
  </si>
  <si>
    <t>ORD10278</t>
  </si>
  <si>
    <t>CUST0268</t>
  </si>
  <si>
    <t>ORD10279</t>
  </si>
  <si>
    <t>ORD10280</t>
  </si>
  <si>
    <t>ORD10281</t>
  </si>
  <si>
    <t>CUST0313</t>
  </si>
  <si>
    <t>ORD10282</t>
  </si>
  <si>
    <t>CUST0193</t>
  </si>
  <si>
    <t>ORD10283</t>
  </si>
  <si>
    <t>ORD10284</t>
  </si>
  <si>
    <t>CUST0325</t>
  </si>
  <si>
    <t>ORD10285</t>
  </si>
  <si>
    <t>CUST0306</t>
  </si>
  <si>
    <t>ORD10286</t>
  </si>
  <si>
    <t>ORD10287</t>
  </si>
  <si>
    <t>CUST0278</t>
  </si>
  <si>
    <t>ORD10288</t>
  </si>
  <si>
    <t>CUST0354</t>
  </si>
  <si>
    <t>ORD10289</t>
  </si>
  <si>
    <t>CUST0092</t>
  </si>
  <si>
    <t>ORD10290</t>
  </si>
  <si>
    <t>CUST0214</t>
  </si>
  <si>
    <t>ORD10291</t>
  </si>
  <si>
    <t>CUST0064</t>
  </si>
  <si>
    <t>ORD10292</t>
  </si>
  <si>
    <t>CUST0184</t>
  </si>
  <si>
    <t>ORD10293</t>
  </si>
  <si>
    <t>CUST0070</t>
  </si>
  <si>
    <t>ORD10294</t>
  </si>
  <si>
    <t>ORD10295</t>
  </si>
  <si>
    <t>ORD10296</t>
  </si>
  <si>
    <t>CUST0189</t>
  </si>
  <si>
    <t>ORD10297</t>
  </si>
  <si>
    <t>CUST0277</t>
  </si>
  <si>
    <t>ORD10298</t>
  </si>
  <si>
    <t>ORD10300</t>
  </si>
  <si>
    <t>CUST0414</t>
  </si>
  <si>
    <t>ORD10301</t>
  </si>
  <si>
    <t>ORD10302</t>
  </si>
  <si>
    <t>CUST0415</t>
  </si>
  <si>
    <t>ORD10303</t>
  </si>
  <si>
    <t>CUST0021</t>
  </si>
  <si>
    <t>ORD10304</t>
  </si>
  <si>
    <t>CUST0054</t>
  </si>
  <si>
    <t>ORD10305</t>
  </si>
  <si>
    <t>ORD10306</t>
  </si>
  <si>
    <t>CUST0204</t>
  </si>
  <si>
    <t>ORD10307</t>
  </si>
  <si>
    <t>ORD10308</t>
  </si>
  <si>
    <t>CUST0100</t>
  </si>
  <si>
    <t>ORD10309</t>
  </si>
  <si>
    <t>CUST0218</t>
  </si>
  <si>
    <t>ORD10310</t>
  </si>
  <si>
    <t>CUST0273</t>
  </si>
  <si>
    <t>ORD10311</t>
  </si>
  <si>
    <t>ORD10312</t>
  </si>
  <si>
    <t>CUST0397</t>
  </si>
  <si>
    <t>ORD10313</t>
  </si>
  <si>
    <t>CUST0237</t>
  </si>
  <si>
    <t>ORD10314</t>
  </si>
  <si>
    <t>ORD10315</t>
  </si>
  <si>
    <t>CUST0074</t>
  </si>
  <si>
    <t>ORD10316</t>
  </si>
  <si>
    <t>ORD10317</t>
  </si>
  <si>
    <t>CUST0272</t>
  </si>
  <si>
    <t>ORD10318</t>
  </si>
  <si>
    <t>ORD10319</t>
  </si>
  <si>
    <t>ORD10320</t>
  </si>
  <si>
    <t>ORD10321</t>
  </si>
  <si>
    <t>ORD10322</t>
  </si>
  <si>
    <t>ORD10323</t>
  </si>
  <si>
    <t>ORD10324</t>
  </si>
  <si>
    <t>CUST0047</t>
  </si>
  <si>
    <t>ORD10325</t>
  </si>
  <si>
    <t>CUST0434</t>
  </si>
  <si>
    <t>ORD10326</t>
  </si>
  <si>
    <t>CUST0202</t>
  </si>
  <si>
    <t>ORD10327</t>
  </si>
  <si>
    <t>CUST0331</t>
  </si>
  <si>
    <t>ORD10328</t>
  </si>
  <si>
    <t>CUST0090</t>
  </si>
  <si>
    <t>ORD10329</t>
  </si>
  <si>
    <t>CUST0371</t>
  </si>
  <si>
    <t>ORD10330</t>
  </si>
  <si>
    <t>ORD10331</t>
  </si>
  <si>
    <t>CUST0137</t>
  </si>
  <si>
    <t>ORD10332</t>
  </si>
  <si>
    <t>CUST0055</t>
  </si>
  <si>
    <t>ORD10333</t>
  </si>
  <si>
    <t>CUST0247</t>
  </si>
  <si>
    <t>ORD10334</t>
  </si>
  <si>
    <t>ORD10335</t>
  </si>
  <si>
    <t>ORD10336</t>
  </si>
  <si>
    <t>ORD10337</t>
  </si>
  <si>
    <t>ORD10338</t>
  </si>
  <si>
    <t>CUST0109</t>
  </si>
  <si>
    <t>ORD10339</t>
  </si>
  <si>
    <t>ORD10340</t>
  </si>
  <si>
    <t>CUST0290</t>
  </si>
  <si>
    <t>ORD10341</t>
  </si>
  <si>
    <t>ORD10342</t>
  </si>
  <si>
    <t>ORD10343</t>
  </si>
  <si>
    <t>CUST0185</t>
  </si>
  <si>
    <t>ORD10344</t>
  </si>
  <si>
    <t>ORD10345</t>
  </si>
  <si>
    <t>CUST0153</t>
  </si>
  <si>
    <t>ORD10346</t>
  </si>
  <si>
    <t>CUST0271</t>
  </si>
  <si>
    <t>ORD10347</t>
  </si>
  <si>
    <t>CUST0073</t>
  </si>
  <si>
    <t>ORD10348</t>
  </si>
  <si>
    <t>CUST0192</t>
  </si>
  <si>
    <t>ORD10349</t>
  </si>
  <si>
    <t>ORD10350</t>
  </si>
  <si>
    <t>CUST0168</t>
  </si>
  <si>
    <t>ORD10351</t>
  </si>
  <si>
    <t>CUST0080</t>
  </si>
  <si>
    <t>ORD10352</t>
  </si>
  <si>
    <t>ORD10353</t>
  </si>
  <si>
    <t>CUST0113</t>
  </si>
  <si>
    <t>ORD10354</t>
  </si>
  <si>
    <t>CUST0118</t>
  </si>
  <si>
    <t>ORD10355</t>
  </si>
  <si>
    <t>CUST0289</t>
  </si>
  <si>
    <t>ORD10356</t>
  </si>
  <si>
    <t>CUST0057</t>
  </si>
  <si>
    <t>ORD10357</t>
  </si>
  <si>
    <t>ORD10358</t>
  </si>
  <si>
    <t>ORD10359</t>
  </si>
  <si>
    <t>CUST0367</t>
  </si>
  <si>
    <t>ORD10360</t>
  </si>
  <si>
    <t>ORD10361</t>
  </si>
  <si>
    <t>ORD10362</t>
  </si>
  <si>
    <t>ORD10363</t>
  </si>
  <si>
    <t>CUST0330</t>
  </si>
  <si>
    <t>ORD10364</t>
  </si>
  <si>
    <t>ORD10365</t>
  </si>
  <si>
    <t>CUST0111</t>
  </si>
  <si>
    <t>ORD10366</t>
  </si>
  <si>
    <t>ORD10367</t>
  </si>
  <si>
    <t>ORD10368</t>
  </si>
  <si>
    <t>CUST0390</t>
  </si>
  <si>
    <t>ORD10369</t>
  </si>
  <si>
    <t>CUST0445</t>
  </si>
  <si>
    <t>ORD10370</t>
  </si>
  <si>
    <t>ORD10371</t>
  </si>
  <si>
    <t>ORD10372</t>
  </si>
  <si>
    <t>ORD10373</t>
  </si>
  <si>
    <t>ORD10374</t>
  </si>
  <si>
    <t>ORD10375</t>
  </si>
  <si>
    <t>ORD10376</t>
  </si>
  <si>
    <t>CUST0383</t>
  </si>
  <si>
    <t>ORD10377</t>
  </si>
  <si>
    <t>CUST0104</t>
  </si>
  <si>
    <t>ORD10378</t>
  </si>
  <si>
    <t>ORD10379</t>
  </si>
  <si>
    <t>ORD10380</t>
  </si>
  <si>
    <t>ORD10381</t>
  </si>
  <si>
    <t>CUST0048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</si>
  <si>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</si>
  <si>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</si>
  <si>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</si>
  <si>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</si>
  <si>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</si>
  <si>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</si>
  <si>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</si>
  <si>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</si>
  <si>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CUST0136</t>
  </si>
  <si>
    <t>ORD10390</t>
  </si>
  <si>
    <t>ORD10391</t>
  </si>
  <si>
    <t>ORD10392</t>
  </si>
  <si>
    <t>ORD10393</t>
  </si>
  <si>
    <t>ORD10394</t>
  </si>
  <si>
    <t>CUST0239</t>
  </si>
  <si>
    <t>ORD10395</t>
  </si>
  <si>
    <t>CUST0391</t>
  </si>
  <si>
    <t>ORD10396</t>
  </si>
  <si>
    <t>ORD10397</t>
  </si>
  <si>
    <t>CUST0120</t>
  </si>
  <si>
    <t>ORD10398</t>
  </si>
  <si>
    <t>ORD10399</t>
  </si>
  <si>
    <t>CUST0091</t>
  </si>
  <si>
    <t>ORD10400</t>
  </si>
  <si>
    <t>CUST0187</t>
  </si>
  <si>
    <t>ORD10401</t>
  </si>
  <si>
    <t>CUST0208</t>
  </si>
  <si>
    <t>ORD10402</t>
  </si>
  <si>
    <t>CUST0427</t>
  </si>
  <si>
    <t>ORD10403</t>
  </si>
  <si>
    <t>CUST0051</t>
  </si>
  <si>
    <t>ORD10404</t>
  </si>
  <si>
    <t>ORD10405</t>
  </si>
  <si>
    <t>CUST0182</t>
  </si>
  <si>
    <t>ORD10406</t>
  </si>
  <si>
    <t>ORD10407</t>
  </si>
  <si>
    <t>ORD10408</t>
  </si>
  <si>
    <t>CUST0299</t>
  </si>
  <si>
    <t>ORD10409</t>
  </si>
  <si>
    <t>ORD10410</t>
  </si>
  <si>
    <t>ORD10411</t>
  </si>
  <si>
    <t>CUST0380</t>
  </si>
  <si>
    <t>ORD10412</t>
  </si>
  <si>
    <t>CUST0071</t>
  </si>
  <si>
    <t>ORD10413</t>
  </si>
  <si>
    <t>CUST0293</t>
  </si>
  <si>
    <t>ORD10414</t>
  </si>
  <si>
    <t>CUST0138</t>
  </si>
  <si>
    <t>ORD10415</t>
  </si>
  <si>
    <t>CUST0166</t>
  </si>
  <si>
    <t>ORD10416</t>
  </si>
  <si>
    <t>ORD10417</t>
  </si>
  <si>
    <t>ORD10418</t>
  </si>
  <si>
    <t>CUST0106</t>
  </si>
  <si>
    <t>ORD10419</t>
  </si>
  <si>
    <t>ORD10420</t>
  </si>
  <si>
    <t>CUST0345</t>
  </si>
  <si>
    <t>ORD10421</t>
  </si>
  <si>
    <t>CUST0095</t>
  </si>
  <si>
    <t>ORD10422</t>
  </si>
  <si>
    <t>ORD10423</t>
  </si>
  <si>
    <t>ORD10424</t>
  </si>
  <si>
    <t>ORD10425</t>
  </si>
  <si>
    <t>CUST0433</t>
  </si>
  <si>
    <t>ORD10426</t>
  </si>
  <si>
    <t>CUST0219</t>
  </si>
  <si>
    <t>ORD10427</t>
  </si>
  <si>
    <t>ORD10428</t>
  </si>
  <si>
    <t>CUST0094</t>
  </si>
  <si>
    <t>ORD10429</t>
  </si>
  <si>
    <t>ORD10430</t>
  </si>
  <si>
    <t>ORD10431</t>
  </si>
  <si>
    <t>ORD10432</t>
  </si>
  <si>
    <t>ORD10433</t>
  </si>
  <si>
    <t>ORD10434</t>
  </si>
  <si>
    <t>ORD10435</t>
  </si>
  <si>
    <t>CUST0105</t>
  </si>
  <si>
    <t>ORD10436</t>
  </si>
  <si>
    <t>CUST0304</t>
  </si>
  <si>
    <t>ORD10437</t>
  </si>
  <si>
    <t>ORD10438</t>
  </si>
  <si>
    <t>ORD10439</t>
  </si>
  <si>
    <t>CUST0181</t>
  </si>
  <si>
    <t>ORD10440</t>
  </si>
  <si>
    <t>ORD10441</t>
  </si>
  <si>
    <t>ORD10442</t>
  </si>
  <si>
    <t>ORD10443</t>
  </si>
  <si>
    <t>ORD10444</t>
  </si>
  <si>
    <t>ORD10445</t>
  </si>
  <si>
    <t>CUST0030</t>
  </si>
  <si>
    <t>ORD10446</t>
  </si>
  <si>
    <t>CUST0378</t>
  </si>
  <si>
    <t>ORD10447</t>
  </si>
  <si>
    <t>ORD10448</t>
  </si>
  <si>
    <t>ORD10449</t>
  </si>
  <si>
    <t>CUST0163</t>
  </si>
  <si>
    <t>ORD10450</t>
  </si>
  <si>
    <t>CUST0006</t>
  </si>
  <si>
    <t>ORD10451</t>
  </si>
  <si>
    <t>CUST0448</t>
  </si>
  <si>
    <t>ORD10452</t>
  </si>
  <si>
    <t>ORD10453</t>
  </si>
  <si>
    <t>ORD10454</t>
  </si>
  <si>
    <t>ORD10455</t>
  </si>
  <si>
    <t>CUST0246</t>
  </si>
  <si>
    <t>ORD10456</t>
  </si>
  <si>
    <t>ORD10457</t>
  </si>
  <si>
    <t>CUST0173</t>
  </si>
  <si>
    <t>ORD10458</t>
  </si>
  <si>
    <t>ORD10459</t>
  </si>
  <si>
    <t>ORD10460</t>
  </si>
  <si>
    <t>ORD10461</t>
  </si>
  <si>
    <t>ORD10462</t>
  </si>
  <si>
    <t>ORD10463</t>
  </si>
  <si>
    <t>ORD10464</t>
  </si>
  <si>
    <t>ORD10465</t>
  </si>
  <si>
    <t>ORD10466</t>
  </si>
  <si>
    <t>CUST0079</t>
  </si>
  <si>
    <t>ORD10467</t>
  </si>
  <si>
    <t>ORD10468</t>
  </si>
  <si>
    <t>ORD10469</t>
  </si>
  <si>
    <t>ORD10470</t>
  </si>
  <si>
    <t>ORD10471</t>
  </si>
  <si>
    <t>ORD10472</t>
  </si>
  <si>
    <t>CUST0338</t>
  </si>
  <si>
    <t>ORD10473</t>
  </si>
  <si>
    <t>ORD10474</t>
  </si>
  <si>
    <t>ORD10475</t>
  </si>
  <si>
    <t>ORD10476</t>
  </si>
  <si>
    <t>CUST0348</t>
  </si>
  <si>
    <t>ORD10477</t>
  </si>
  <si>
    <t>ORD10478</t>
  </si>
  <si>
    <t>ORD10479</t>
  </si>
  <si>
    <t>ORD10480</t>
  </si>
  <si>
    <t>ORD10481</t>
  </si>
  <si>
    <t>CUST0066</t>
  </si>
  <si>
    <t>ORD10482</t>
  </si>
  <si>
    <t>ORD10483</t>
  </si>
  <si>
    <t>ORD10484</t>
  </si>
  <si>
    <t>ORD10485</t>
  </si>
  <si>
    <t>ORD10486</t>
  </si>
  <si>
    <t>ORD10487</t>
  </si>
  <si>
    <t>ORD10488</t>
  </si>
  <si>
    <t>CUST0450</t>
  </si>
  <si>
    <t>ORD10489</t>
  </si>
  <si>
    <t>CUST0344</t>
  </si>
  <si>
    <t>ORD10490</t>
  </si>
  <si>
    <t>CUST0413</t>
  </si>
  <si>
    <t>ORD10491</t>
  </si>
  <si>
    <t>ORD10492</t>
  </si>
  <si>
    <t>CUST0086</t>
  </si>
  <si>
    <t>ORD10493</t>
  </si>
  <si>
    <t>CUST0407</t>
  </si>
  <si>
    <t>ORD10494</t>
  </si>
  <si>
    <t>ORD10495</t>
  </si>
  <si>
    <t>ORD10496</t>
  </si>
  <si>
    <t>ORD10497</t>
  </si>
  <si>
    <t>ORD10498</t>
  </si>
  <si>
    <t>ORD10499</t>
  </si>
  <si>
    <t>ORD10500</t>
  </si>
  <si>
    <t>CUST0358</t>
  </si>
  <si>
    <t>ORD10501</t>
  </si>
  <si>
    <t>ORD10502</t>
  </si>
  <si>
    <t>CUST0236</t>
  </si>
  <si>
    <t>ORD10503</t>
  </si>
  <si>
    <t>ORD10504</t>
  </si>
  <si>
    <t>ORD10505</t>
  </si>
  <si>
    <t>CUST0132</t>
  </si>
  <si>
    <t>ORD10506</t>
  </si>
  <si>
    <t>CUST0257</t>
  </si>
  <si>
    <t>ORD10507</t>
  </si>
  <si>
    <t>CUST0357</t>
  </si>
  <si>
    <t>ORD10508</t>
  </si>
  <si>
    <t>ORD10509</t>
  </si>
  <si>
    <t>CUST0210</t>
  </si>
  <si>
    <t>ORD10510</t>
  </si>
  <si>
    <t>CUST0098</t>
  </si>
  <si>
    <t>ORD10511</t>
  </si>
  <si>
    <t>CUST0351</t>
  </si>
  <si>
    <t>ORD10512</t>
  </si>
  <si>
    <t>ORD10513</t>
  </si>
  <si>
    <t>ORD10514</t>
  </si>
  <si>
    <t>ORD10516</t>
  </si>
  <si>
    <t>ORD10517</t>
  </si>
  <si>
    <t>ORD10518</t>
  </si>
  <si>
    <t>CUST0155</t>
  </si>
  <si>
    <t>ORD10519</t>
  </si>
  <si>
    <t>CUST0280</t>
  </si>
  <si>
    <t>ORD10520</t>
  </si>
  <si>
    <t>ORD10521</t>
  </si>
  <si>
    <t>ORD10522</t>
  </si>
  <si>
    <t>CUST0439</t>
  </si>
  <si>
    <t>ORD10523</t>
  </si>
  <si>
    <t>ORD10524</t>
  </si>
  <si>
    <t>CUST0046</t>
  </si>
  <si>
    <t>ORD10525</t>
  </si>
  <si>
    <t>ORD10526</t>
  </si>
  <si>
    <t>CUST0428</t>
  </si>
  <si>
    <t>ORD10527</t>
  </si>
  <si>
    <t>ORD10528</t>
  </si>
  <si>
    <t>ORD10529</t>
  </si>
  <si>
    <t>CUST0259</t>
  </si>
  <si>
    <t>ORD10530</t>
  </si>
  <si>
    <t>ORD10531</t>
  </si>
  <si>
    <t>ORD10532</t>
  </si>
  <si>
    <t>ORD10533</t>
  </si>
  <si>
    <t>ORD10534</t>
  </si>
  <si>
    <t>ORD10535</t>
  </si>
  <si>
    <t>ORD10536</t>
  </si>
  <si>
    <t>CUST0298</t>
  </si>
  <si>
    <t>ORD10537</t>
  </si>
  <si>
    <t>CUST0279</t>
  </si>
  <si>
    <t>ORD10538</t>
  </si>
  <si>
    <t>ORD10539</t>
  </si>
  <si>
    <t>ORD10540</t>
  </si>
  <si>
    <t>ORD10541</t>
  </si>
  <si>
    <t>ORD10542</t>
  </si>
  <si>
    <t>ORD10543</t>
  </si>
  <si>
    <t>ORD10544</t>
  </si>
  <si>
    <t>ORD10545</t>
  </si>
  <si>
    <t>ORD10546</t>
  </si>
  <si>
    <t>CUST0230</t>
  </si>
  <si>
    <t>ORD10547</t>
  </si>
  <si>
    <t>CUST0209</t>
  </si>
  <si>
    <t>ORD10548</t>
  </si>
  <si>
    <t>ORD10549</t>
  </si>
  <si>
    <t>CUST0050</t>
  </si>
  <si>
    <t>ORD10550</t>
  </si>
  <si>
    <t>ORD10551</t>
  </si>
  <si>
    <t>ORD10552</t>
  </si>
  <si>
    <t>ORD10553</t>
  </si>
  <si>
    <t>ORD10554</t>
  </si>
  <si>
    <t>ORD10555</t>
  </si>
  <si>
    <t>ORD10556</t>
  </si>
  <si>
    <t>ORD10557</t>
  </si>
  <si>
    <t>ORD10558</t>
  </si>
  <si>
    <t>ORD10559</t>
  </si>
  <si>
    <t>ORD10560</t>
  </si>
  <si>
    <t>ORD10561</t>
  </si>
  <si>
    <t>ORD10562</t>
  </si>
  <si>
    <t>ORD10563</t>
  </si>
  <si>
    <t>ORD10564</t>
  </si>
  <si>
    <t>ORD10565</t>
  </si>
  <si>
    <t>CUST0171</t>
  </si>
  <si>
    <t>ORD10566</t>
  </si>
  <si>
    <t>ORD10567</t>
  </si>
  <si>
    <t>ORD10568</t>
  </si>
  <si>
    <t>ORD10569</t>
  </si>
  <si>
    <t>ORD10570</t>
  </si>
  <si>
    <t>ORD10571</t>
  </si>
  <si>
    <t>ORD10572</t>
  </si>
  <si>
    <t>ORD10573</t>
  </si>
  <si>
    <t>ORD10574</t>
  </si>
  <si>
    <t>ORD10575</t>
  </si>
  <si>
    <t>ORD10576</t>
  </si>
  <si>
    <t>CUST0442</t>
  </si>
  <si>
    <t>ORD10577</t>
  </si>
  <si>
    <t>CUST0045</t>
  </si>
  <si>
    <t>ORD10578</t>
  </si>
  <si>
    <t>ORD10579</t>
  </si>
  <si>
    <t>ORD10580</t>
  </si>
  <si>
    <t>ORD10581</t>
  </si>
  <si>
    <t>CUST0408</t>
  </si>
  <si>
    <t>ORD10582</t>
  </si>
  <si>
    <t>ORD10583</t>
  </si>
  <si>
    <t>ORD10584</t>
  </si>
  <si>
    <t>CUST0216</t>
  </si>
  <si>
    <t>ORD10585</t>
  </si>
  <si>
    <t>ORD10586</t>
  </si>
  <si>
    <t>CUST0078</t>
  </si>
  <si>
    <t>ORD10587</t>
  </si>
  <si>
    <t>ORD10588</t>
  </si>
  <si>
    <t>ORD10589</t>
  </si>
  <si>
    <t>ORD10590</t>
  </si>
  <si>
    <t>ORD10591</t>
  </si>
  <si>
    <t>ORD10592</t>
  </si>
  <si>
    <t>ORD10593</t>
  </si>
  <si>
    <t>CUST0212</t>
  </si>
  <si>
    <t>ORD10594</t>
  </si>
  <si>
    <t>ORD10595</t>
  </si>
  <si>
    <t>CUST0446</t>
  </si>
  <si>
    <t>ORD10596</t>
  </si>
  <si>
    <t>ORD10597</t>
  </si>
  <si>
    <t>ORD10598</t>
  </si>
  <si>
    <t>CUST0232</t>
  </si>
  <si>
    <t>ORD10599</t>
  </si>
  <si>
    <t>CUST0110</t>
  </si>
  <si>
    <t>ORD10600</t>
  </si>
  <si>
    <t>CUST0164</t>
  </si>
  <si>
    <t>ORD10601</t>
  </si>
  <si>
    <t>ORD10602</t>
  </si>
  <si>
    <t>CUST0339</t>
  </si>
  <si>
    <t>ORD10603</t>
  </si>
  <si>
    <t>ORD10604</t>
  </si>
  <si>
    <t>ORD10605</t>
  </si>
  <si>
    <t>ORD10606</t>
  </si>
  <si>
    <t>CUST0341</t>
  </si>
  <si>
    <t>ORD10607</t>
  </si>
  <si>
    <t>ORD10608</t>
  </si>
  <si>
    <t>ORD10609</t>
  </si>
  <si>
    <t>ORD10610</t>
  </si>
  <si>
    <t>ORD10611</t>
  </si>
  <si>
    <t>ORD10612</t>
  </si>
  <si>
    <t>CUST0121</t>
  </si>
  <si>
    <t>ORD10613</t>
  </si>
  <si>
    <t>ORD10614</t>
  </si>
  <si>
    <t>ORD10615</t>
  </si>
  <si>
    <t>ORD10616</t>
  </si>
  <si>
    <t>ORD10617</t>
  </si>
  <si>
    <t>ORD10618</t>
  </si>
  <si>
    <t>ORD10619</t>
  </si>
  <si>
    <t>CUST0308</t>
  </si>
  <si>
    <t>ORD10620</t>
  </si>
  <si>
    <t>CUST0297</t>
  </si>
  <si>
    <t>ORD10621</t>
  </si>
  <si>
    <t>CUST0231</t>
  </si>
  <si>
    <t>ORD10622</t>
  </si>
  <si>
    <t>ORD10623</t>
  </si>
  <si>
    <t>ORD10624</t>
  </si>
  <si>
    <t>ORD10625</t>
  </si>
  <si>
    <t>ORD10626</t>
  </si>
  <si>
    <t>ORD10627</t>
  </si>
  <si>
    <t>ORD10628</t>
  </si>
  <si>
    <t>ORD10629</t>
  </si>
  <si>
    <t>ORD10630</t>
  </si>
  <si>
    <t>ORD10631</t>
  </si>
  <si>
    <t>ORD10632</t>
  </si>
  <si>
    <t>ORD10633</t>
  </si>
  <si>
    <t>ORD10634</t>
  </si>
  <si>
    <t>ORD10635</t>
  </si>
  <si>
    <t>CUST0194</t>
  </si>
  <si>
    <t>ORD10636</t>
  </si>
  <si>
    <t>CUST0140</t>
  </si>
  <si>
    <t>ORD10637</t>
  </si>
  <si>
    <t>ORD10638</t>
  </si>
  <si>
    <t>ORD10639</t>
  </si>
  <si>
    <t>CUST0342</t>
  </si>
  <si>
    <t>ORD10640</t>
  </si>
  <si>
    <t>ORD10641</t>
  </si>
  <si>
    <t>ORD10642</t>
  </si>
  <si>
    <t>ORD10643</t>
  </si>
  <si>
    <t>ORD10644</t>
  </si>
  <si>
    <t>CUST0084</t>
  </si>
  <si>
    <t>ORD10645</t>
  </si>
  <si>
    <t>ORD10646</t>
  </si>
  <si>
    <t>ORD10647</t>
  </si>
  <si>
    <t>ORD10648</t>
  </si>
  <si>
    <t>ORD10649</t>
  </si>
  <si>
    <t>ORD10650</t>
  </si>
  <si>
    <t>ORD10651</t>
  </si>
  <si>
    <t>ORD10652</t>
  </si>
  <si>
    <t>ORD10653</t>
  </si>
  <si>
    <t>ORD10654</t>
  </si>
  <si>
    <t>CUST0411</t>
  </si>
  <si>
    <t>ORD10655</t>
  </si>
  <si>
    <t>ORD10656</t>
  </si>
  <si>
    <t>ORD10657</t>
  </si>
  <si>
    <t>ORD10658</t>
  </si>
  <si>
    <t>ORD10659</t>
  </si>
  <si>
    <t>ORD10660</t>
  </si>
  <si>
    <t>CUST0199</t>
  </si>
  <si>
    <t>ORD10661</t>
  </si>
  <si>
    <t>CUST0249</t>
  </si>
  <si>
    <t>ORD10662</t>
  </si>
  <si>
    <t>ORD10663</t>
  </si>
  <si>
    <t>ORD10664</t>
  </si>
  <si>
    <t>CUST0361</t>
  </si>
  <si>
    <t>ORD10665</t>
  </si>
  <si>
    <t>ORD10666</t>
  </si>
  <si>
    <t>ORD10667</t>
  </si>
  <si>
    <t>ORD10668</t>
  </si>
  <si>
    <t>ORD10669</t>
  </si>
  <si>
    <t>CUST0394</t>
  </si>
  <si>
    <t>ORD10670</t>
  </si>
  <si>
    <t>ORD10671</t>
  </si>
  <si>
    <t>CUST0333</t>
  </si>
  <si>
    <t>ORD10672</t>
  </si>
  <si>
    <t>ORD10673</t>
  </si>
  <si>
    <t>ORD10674</t>
  </si>
  <si>
    <t>ORD10675</t>
  </si>
  <si>
    <t>ORD10676</t>
  </si>
  <si>
    <t>CUST0388</t>
  </si>
  <si>
    <t>ORD10677</t>
  </si>
  <si>
    <t>CUST0362</t>
  </si>
  <si>
    <t>ORD10678</t>
  </si>
  <si>
    <t>ORD10679</t>
  </si>
  <si>
    <t>CUST0114</t>
  </si>
  <si>
    <t>ORD10680</t>
  </si>
  <si>
    <t>ORD10681</t>
  </si>
  <si>
    <t>ORD10682</t>
  </si>
  <si>
    <t>ORD10683</t>
  </si>
  <si>
    <t>ORD10684</t>
  </si>
  <si>
    <t>ORD10685</t>
  </si>
  <si>
    <t>ORD10686</t>
  </si>
  <si>
    <t>CUST0044</t>
  </si>
  <si>
    <t>ORD10687</t>
  </si>
  <si>
    <t>ORD10688</t>
  </si>
  <si>
    <t>ORD10689</t>
  </si>
  <si>
    <t>CUST0352</t>
  </si>
  <si>
    <t>ORD10690</t>
  </si>
  <si>
    <t>ORD10691</t>
  </si>
  <si>
    <t>ORD10692</t>
  </si>
  <si>
    <t>CUST0186</t>
  </si>
  <si>
    <t>ORD10693</t>
  </si>
  <si>
    <t>ORD10694</t>
  </si>
  <si>
    <t>ORD10695</t>
  </si>
  <si>
    <t>ORD10696</t>
  </si>
  <si>
    <t>ORD10697</t>
  </si>
  <si>
    <t>CUST0314</t>
  </si>
  <si>
    <t>ORD10698</t>
  </si>
  <si>
    <t>ORD10699</t>
  </si>
  <si>
    <t>ORD10700</t>
  </si>
  <si>
    <t>ORD10701</t>
  </si>
  <si>
    <t>ORD10702</t>
  </si>
  <si>
    <t>ORD10703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</si>
  <si>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</si>
  <si>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</si>
  <si>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</si>
  <si>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</si>
  <si>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</si>
  <si>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</si>
  <si>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</si>
  <si>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</si>
  <si>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</si>
  <si>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</si>
  <si>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</si>
  <si>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ORD10715</t>
  </si>
  <si>
    <t>ORD10716</t>
  </si>
  <si>
    <t>CUST0315</t>
  </si>
  <si>
    <t>ORD10717</t>
  </si>
  <si>
    <t>ORD10718</t>
  </si>
  <si>
    <t>ORD10719</t>
  </si>
  <si>
    <t>ORD10720</t>
  </si>
  <si>
    <t>ORD10721</t>
  </si>
  <si>
    <t>ORD10722</t>
  </si>
  <si>
    <t>CUST0440</t>
  </si>
  <si>
    <t>ORD10723</t>
  </si>
  <si>
    <t>ORD10724</t>
  </si>
  <si>
    <t>ORD10725</t>
  </si>
  <si>
    <t>CUST0322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</si>
  <si>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</si>
  <si>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</si>
  <si>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</si>
  <si>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</si>
  <si>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</si>
  <si>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</si>
  <si>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</si>
  <si>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</si>
  <si>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CUST0281</t>
  </si>
  <si>
    <t>ORD10734</t>
  </si>
  <si>
    <t>CUST0255</t>
  </si>
  <si>
    <t>ORD10735</t>
  </si>
  <si>
    <t>ORD10736</t>
  </si>
  <si>
    <t>ORD10737</t>
  </si>
  <si>
    <t>ORD10738</t>
  </si>
  <si>
    <t>CUST0376</t>
  </si>
  <si>
    <t>ORD10739</t>
  </si>
  <si>
    <t>ORD10740</t>
  </si>
  <si>
    <t>ORD10741</t>
  </si>
  <si>
    <t>CUST0205</t>
  </si>
  <si>
    <t>ORD10742</t>
  </si>
  <si>
    <t>CUST0010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</si>
  <si>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</si>
  <si>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</si>
  <si>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</si>
  <si>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</si>
  <si>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</si>
  <si>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</si>
  <si>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</si>
  <si>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</si>
  <si>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</si>
  <si>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</si>
  <si>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</si>
  <si>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</si>
  <si>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</si>
  <si>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</si>
  <si>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</si>
  <si>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</si>
  <si>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</si>
  <si>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</si>
  <si>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</si>
  <si>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CUST0366</t>
  </si>
  <si>
    <t>ORD10762</t>
  </si>
  <si>
    <t>ORD10763</t>
  </si>
  <si>
    <t>CUST0023</t>
  </si>
  <si>
    <t>ORD10764</t>
  </si>
  <si>
    <t>CUST0359</t>
  </si>
  <si>
    <t>ORD10765</t>
  </si>
  <si>
    <t>CUST0405</t>
  </si>
  <si>
    <t>ORD10766</t>
  </si>
  <si>
    <t>ORD10767</t>
  </si>
  <si>
    <t>ORD10768</t>
  </si>
  <si>
    <t>ORD10769</t>
  </si>
  <si>
    <t>CUST0145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</si>
  <si>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</si>
  <si>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</si>
  <si>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</si>
  <si>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</si>
  <si>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</si>
  <si>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</si>
  <si>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</si>
  <si>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</si>
  <si>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</si>
  <si>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</si>
  <si>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</si>
  <si>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</si>
  <si>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</si>
  <si>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</si>
  <si>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</si>
  <si>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</si>
  <si>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</si>
  <si>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ORD10787</t>
  </si>
  <si>
    <t>ORD10788</t>
  </si>
  <si>
    <t>CUST0385</t>
  </si>
  <si>
    <t>ORD10789</t>
  </si>
  <si>
    <t>ORD10790</t>
  </si>
  <si>
    <t>ORD10791</t>
  </si>
  <si>
    <t>CUST0321</t>
  </si>
  <si>
    <t>ORD10792</t>
  </si>
  <si>
    <t>ORD10793</t>
  </si>
  <si>
    <t>CUST0307</t>
  </si>
  <si>
    <t>ORD10794</t>
  </si>
  <si>
    <t>ORD10795</t>
  </si>
  <si>
    <t>ORD10796</t>
  </si>
  <si>
    <t>ORD10797</t>
  </si>
  <si>
    <t>ORD10798</t>
  </si>
  <si>
    <t>ORD10799</t>
  </si>
  <si>
    <t>CUST0401</t>
  </si>
  <si>
    <t>ORD10800</t>
  </si>
  <si>
    <t>ORD10801</t>
  </si>
  <si>
    <t>ORD10802</t>
  </si>
  <si>
    <t>ORD10803</t>
  </si>
  <si>
    <t>ORD10804</t>
  </si>
  <si>
    <t>ORD10805</t>
  </si>
  <si>
    <t>CUST0013</t>
  </si>
  <si>
    <t>ORD10806</t>
  </si>
  <si>
    <t>ORD10807</t>
  </si>
  <si>
    <t>ORD10808</t>
  </si>
  <si>
    <t>CUST0020</t>
  </si>
  <si>
    <t>ORD10809</t>
  </si>
  <si>
    <t>CUST0253</t>
  </si>
  <si>
    <t>ORD10810</t>
  </si>
  <si>
    <t>CUST0350</t>
  </si>
  <si>
    <t>ORD10811</t>
  </si>
  <si>
    <t>ORD10812</t>
  </si>
  <si>
    <t>CUST0329</t>
  </si>
  <si>
    <t>ORD10813</t>
  </si>
  <si>
    <t>ORD10814</t>
  </si>
  <si>
    <t>ORD10815</t>
  </si>
  <si>
    <t>ORD10816</t>
  </si>
  <si>
    <t>ORD10817</t>
  </si>
  <si>
    <t>ORD10818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</si>
  <si>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</si>
  <si>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</si>
  <si>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</si>
  <si>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</si>
  <si>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</si>
  <si>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</si>
  <si>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</si>
  <si>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</si>
  <si>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</si>
  <si>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</si>
  <si>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CUST0172</t>
  </si>
  <si>
    <t>ORD10829</t>
  </si>
  <si>
    <t>ORD10830</t>
  </si>
  <si>
    <t>ORD10831</t>
  </si>
  <si>
    <t>ORD10832</t>
  </si>
  <si>
    <t>ORD10833</t>
  </si>
  <si>
    <t>ORD10834</t>
  </si>
  <si>
    <t>ORD10835</t>
  </si>
  <si>
    <t>ORD10836</t>
  </si>
  <si>
    <t>ORD10837</t>
  </si>
  <si>
    <t>ORD10838</t>
  </si>
  <si>
    <t>ORD10839</t>
  </si>
  <si>
    <t>ORD10840</t>
  </si>
  <si>
    <t>ORD10841</t>
  </si>
  <si>
    <t>ORD10842</t>
  </si>
  <si>
    <t>ORD10843</t>
  </si>
  <si>
    <t>CUST0146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</si>
  <si>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</si>
  <si>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</si>
  <si>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</si>
  <si>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</si>
  <si>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</si>
  <si>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</si>
  <si>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</si>
  <si>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</si>
  <si>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</si>
  <si>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</si>
  <si>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</si>
  <si>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</si>
  <si>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</si>
  <si>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ORD10857</t>
  </si>
  <si>
    <t>CUST0148</t>
  </si>
  <si>
    <t>ORD10858</t>
  </si>
  <si>
    <t>ORD10859</t>
  </si>
  <si>
    <t>ORD10860</t>
  </si>
  <si>
    <t>ORD10861</t>
  </si>
  <si>
    <t>ORD10862</t>
  </si>
  <si>
    <t>ORD10863</t>
  </si>
  <si>
    <t>ORD10864</t>
  </si>
  <si>
    <t>CUST0195</t>
  </si>
  <si>
    <t>ORD10865</t>
  </si>
  <si>
    <t>ORD10866</t>
  </si>
  <si>
    <t>ORD10867</t>
  </si>
  <si>
    <t>ORD10868</t>
  </si>
  <si>
    <t>ORD10869</t>
  </si>
  <si>
    <t>ORD10870</t>
  </si>
  <si>
    <t>ORD10871</t>
  </si>
  <si>
    <t>ORD10872</t>
  </si>
  <si>
    <t>CUST0176</t>
  </si>
  <si>
    <t>ORD10873</t>
  </si>
  <si>
    <t>ORD10874</t>
  </si>
  <si>
    <t>ORD10875</t>
  </si>
  <si>
    <t>ORD10876</t>
  </si>
  <si>
    <t>ORD10877</t>
  </si>
  <si>
    <t>ORD10878</t>
  </si>
  <si>
    <t>CUST0312</t>
  </si>
  <si>
    <t>ORD10879</t>
  </si>
  <si>
    <t>CUST0197</t>
  </si>
  <si>
    <t>ORD10880</t>
  </si>
  <si>
    <t>ORD10881</t>
  </si>
  <si>
    <t>CUST0115</t>
  </si>
  <si>
    <t>ORD10882</t>
  </si>
  <si>
    <t>ORD10883</t>
  </si>
  <si>
    <t>ORD10884</t>
  </si>
  <si>
    <t>ORD10885</t>
  </si>
  <si>
    <t>ORD10886</t>
  </si>
  <si>
    <t>ORD10887</t>
  </si>
  <si>
    <t>ORD10888</t>
  </si>
  <si>
    <t>ORD10889</t>
  </si>
  <si>
    <t>ORD10890</t>
  </si>
  <si>
    <t>ORD10891</t>
  </si>
  <si>
    <t>ORD10892</t>
  </si>
  <si>
    <t>CUST0144</t>
  </si>
  <si>
    <t>ORD10893</t>
  </si>
  <si>
    <t>ORD10894</t>
  </si>
  <si>
    <t>ORD10895</t>
  </si>
  <si>
    <t>ORD10896</t>
  </si>
  <si>
    <t>ORD10897</t>
  </si>
  <si>
    <t>ORD10898</t>
  </si>
  <si>
    <t>ORD10899</t>
  </si>
  <si>
    <t>ORD10900</t>
  </si>
  <si>
    <t>ORD10901</t>
  </si>
  <si>
    <t>ORD10902</t>
  </si>
  <si>
    <t>CUST0005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</si>
  <si>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</si>
  <si>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</si>
  <si>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</si>
  <si>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</si>
  <si>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</si>
  <si>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</si>
  <si>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</si>
  <si>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</si>
  <si>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</si>
  <si>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</si>
  <si>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</si>
  <si>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</si>
  <si>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</si>
  <si>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</si>
  <si>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</si>
  <si>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</si>
  <si>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</si>
  <si>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</si>
  <si>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</si>
  <si>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</si>
  <si>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</si>
  <si>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</si>
  <si>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CUST0207</t>
  </si>
  <si>
    <t>ORD10925</t>
  </si>
  <si>
    <t>ORD10926</t>
  </si>
  <si>
    <t>ORD10927</t>
  </si>
  <si>
    <t>CUST0038</t>
  </si>
  <si>
    <t>ORD10928</t>
  </si>
  <si>
    <t>CUST0244</t>
  </si>
  <si>
    <t>ORD10929</t>
  </si>
  <si>
    <t>ORD10930</t>
  </si>
  <si>
    <t>ORD10931</t>
  </si>
  <si>
    <t>ORD10932</t>
  </si>
  <si>
    <t>ORD10933</t>
  </si>
  <si>
    <t>ORD10934</t>
  </si>
  <si>
    <t>ORD10935</t>
  </si>
  <si>
    <t>ORD10936</t>
  </si>
  <si>
    <t>ORD10937</t>
  </si>
  <si>
    <t>ORD10938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</si>
  <si>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</si>
  <si>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</si>
  <si>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</si>
  <si>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</si>
  <si>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</si>
  <si>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</si>
  <si>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</si>
  <si>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</si>
  <si>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</si>
  <si>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</si>
  <si>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</si>
  <si>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</si>
  <si>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</si>
  <si>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</si>
  <si>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</si>
  <si>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</si>
  <si>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</si>
  <si>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</si>
  <si>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</si>
  <si>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</si>
  <si>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</si>
  <si>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</si>
  <si>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</si>
  <si>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</si>
  <si>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</si>
  <si>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</si>
  <si>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</si>
  <si>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</si>
  <si>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</si>
  <si>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</si>
  <si>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CUST0108</t>
  </si>
  <si>
    <t>ORD10969</t>
  </si>
  <si>
    <t>ORD10970</t>
  </si>
  <si>
    <t>ORD10971</t>
  </si>
  <si>
    <t>ORD10972</t>
  </si>
  <si>
    <t>ORD10973</t>
  </si>
  <si>
    <t>CUST0275</t>
  </si>
  <si>
    <t>ORD10974</t>
  </si>
  <si>
    <t>CUST0343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</si>
  <si>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</si>
  <si>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</si>
  <si>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</si>
  <si>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</si>
  <si>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</si>
  <si>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</si>
  <si>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</si>
  <si>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</si>
  <si>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</si>
  <si>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</si>
  <si>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</si>
  <si>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</si>
  <si>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</si>
  <si>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</si>
  <si>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</si>
  <si>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</si>
  <si>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CUST0082</t>
  </si>
  <si>
    <t>ORD10991</t>
  </si>
  <si>
    <t>ORD10992</t>
  </si>
  <si>
    <t>ORD10993</t>
  </si>
  <si>
    <t>ORD10994</t>
  </si>
  <si>
    <t>ORD10995</t>
  </si>
  <si>
    <t>ORD10996</t>
  </si>
  <si>
    <t>ORD10997</t>
  </si>
  <si>
    <t>ORD10998</t>
  </si>
  <si>
    <t>ORD10999</t>
  </si>
  <si>
    <t>ORD11000</t>
  </si>
  <si>
    <t>ORD11001</t>
  </si>
  <si>
    <t>ORD11002</t>
  </si>
  <si>
    <t>ORD11003</t>
  </si>
  <si>
    <t>CUST0052</t>
  </si>
  <si>
    <t>ORD11004</t>
  </si>
  <si>
    <t>ORD11005</t>
  </si>
  <si>
    <t>ORD11006</t>
  </si>
  <si>
    <t>ORD11007</t>
  </si>
  <si>
    <t>ORD11008</t>
  </si>
  <si>
    <t>ORD11009</t>
  </si>
  <si>
    <t>ORD11010</t>
  </si>
  <si>
    <t>ORD11011</t>
  </si>
  <si>
    <t>ORD11012</t>
  </si>
  <si>
    <t>ORD11013</t>
  </si>
  <si>
    <t>ORD11014</t>
  </si>
  <si>
    <t>ORD11015</t>
  </si>
  <si>
    <t>ORD11016</t>
  </si>
  <si>
    <t>ORD11017</t>
  </si>
  <si>
    <t>ORD11018</t>
  </si>
  <si>
    <t>ORD11019</t>
  </si>
  <si>
    <t>ORD11020</t>
  </si>
  <si>
    <t>ORD11021</t>
  </si>
  <si>
    <t>CUST0250</t>
  </si>
  <si>
    <t>ORD11022</t>
  </si>
  <si>
    <t>ORD11023</t>
  </si>
  <si>
    <t>ORD11024</t>
  </si>
  <si>
    <t>ORD11025</t>
  </si>
  <si>
    <t>ORD11026</t>
  </si>
  <si>
    <t>CUST0067</t>
  </si>
  <si>
    <t>ORD11027</t>
  </si>
  <si>
    <t>CUST0410</t>
  </si>
  <si>
    <t>ORD11028</t>
  </si>
  <si>
    <t>ORD11029</t>
  </si>
  <si>
    <t>ORD11030</t>
  </si>
  <si>
    <t>ORD11031</t>
  </si>
  <si>
    <t>ORD11032</t>
  </si>
  <si>
    <t>ORD11033</t>
  </si>
  <si>
    <t>ORD11034</t>
  </si>
  <si>
    <t>ORD11035</t>
  </si>
  <si>
    <t>ORD11036</t>
  </si>
  <si>
    <t>CUST0169</t>
  </si>
  <si>
    <t>ORD11037</t>
  </si>
  <si>
    <t>CUST0254</t>
  </si>
  <si>
    <t>ORD11038</t>
  </si>
  <si>
    <t>ORD11039</t>
  </si>
  <si>
    <t>ORD11040</t>
  </si>
  <si>
    <t>ORD11041</t>
  </si>
  <si>
    <t>ORD11042</t>
  </si>
  <si>
    <t>CUST0418</t>
  </si>
  <si>
    <t>ORD11043</t>
  </si>
  <si>
    <t>ORD11044</t>
  </si>
  <si>
    <t>ORD11045</t>
  </si>
  <si>
    <t>ORD11046</t>
  </si>
  <si>
    <t>ORD11047</t>
  </si>
  <si>
    <t>ORD11048</t>
  </si>
  <si>
    <t>ORD11049</t>
  </si>
  <si>
    <t>ORD11050</t>
  </si>
  <si>
    <t>ORD11051</t>
  </si>
  <si>
    <t>ORD11052</t>
  </si>
  <si>
    <t>CUST0135</t>
  </si>
  <si>
    <t>ORD11053</t>
  </si>
  <si>
    <t>ORD11054</t>
  </si>
  <si>
    <t>ORD11055</t>
  </si>
  <si>
    <t>ORD11056</t>
  </si>
  <si>
    <t>ORD11057</t>
  </si>
  <si>
    <t>ORD11058</t>
  </si>
  <si>
    <t>CUST0112</t>
  </si>
  <si>
    <t>ORD11059</t>
  </si>
  <si>
    <t>ORD11060</t>
  </si>
  <si>
    <t>ORD11061</t>
  </si>
  <si>
    <t>ORD11062</t>
  </si>
  <si>
    <t>ORD11063</t>
  </si>
  <si>
    <t>ORD11064</t>
  </si>
  <si>
    <t>ORD11065</t>
  </si>
  <si>
    <t>ORD11066</t>
  </si>
  <si>
    <t>ORD11067</t>
  </si>
  <si>
    <t>ORD11068</t>
  </si>
  <si>
    <t>ORD11069</t>
  </si>
  <si>
    <t>ORD11070</t>
  </si>
  <si>
    <t>CUST0133</t>
  </si>
  <si>
    <t>ORD11071</t>
  </si>
  <si>
    <t>ORD11072</t>
  </si>
  <si>
    <t>ORD11073</t>
  </si>
  <si>
    <t>ORD11074</t>
  </si>
  <si>
    <t>ORD11075</t>
  </si>
  <si>
    <t>ORD11076</t>
  </si>
  <si>
    <t>ORD11077</t>
  </si>
  <si>
    <t>ORD11078</t>
  </si>
  <si>
    <t>ORD11079</t>
  </si>
  <si>
    <t>ORD11080</t>
  </si>
  <si>
    <t>ORD11081</t>
  </si>
  <si>
    <t>ORD11082</t>
  </si>
  <si>
    <t>ORD11083</t>
  </si>
  <si>
    <t>ORD11084</t>
  </si>
  <si>
    <t>ORD11085</t>
  </si>
  <si>
    <t>ORD11086</t>
  </si>
  <si>
    <t>CUST0211</t>
  </si>
  <si>
    <t>ORD11087</t>
  </si>
  <si>
    <t>CUST0334</t>
  </si>
  <si>
    <t>ORD11088</t>
  </si>
  <si>
    <t>ORD11089</t>
  </si>
  <si>
    <t>ORD11090</t>
  </si>
  <si>
    <t>ORD11091</t>
  </si>
  <si>
    <t>ORD11092</t>
  </si>
  <si>
    <t>ORD11093</t>
  </si>
  <si>
    <t>ORD11094</t>
  </si>
  <si>
    <t>ORD11095</t>
  </si>
  <si>
    <t>ORD11096</t>
  </si>
  <si>
    <t>ORD11097</t>
  </si>
  <si>
    <t>ORD11098</t>
  </si>
  <si>
    <t>CUST0398</t>
  </si>
  <si>
    <t>ORD11099</t>
  </si>
  <si>
    <t>CUST0396</t>
  </si>
  <si>
    <t>ORD11100</t>
  </si>
  <si>
    <t>ORD11101</t>
  </si>
  <si>
    <t>ORD11102</t>
  </si>
  <si>
    <t>ORD11103</t>
  </si>
  <si>
    <t>ORD11104</t>
  </si>
  <si>
    <t>ORD11105</t>
  </si>
  <si>
    <t>ORD11106</t>
  </si>
  <si>
    <t>ORD11107</t>
  </si>
  <si>
    <t>ORD11108</t>
  </si>
  <si>
    <t>ORD11109</t>
  </si>
  <si>
    <t>ORD11110</t>
  </si>
  <si>
    <t>ORD11111</t>
  </si>
  <si>
    <t>ORD11112</t>
  </si>
  <si>
    <t>CUST0238</t>
  </si>
  <si>
    <t>ORD11113</t>
  </si>
  <si>
    <t>ORD11114</t>
  </si>
  <si>
    <t>ORD11115</t>
  </si>
  <si>
    <t>ORD11116</t>
  </si>
  <si>
    <t>ORD11117</t>
  </si>
  <si>
    <t>ORD11118</t>
  </si>
  <si>
    <t>ORD11119</t>
  </si>
  <si>
    <t>CUST0215</t>
  </si>
  <si>
    <t>ORD11120</t>
  </si>
  <si>
    <t>ORD11121</t>
  </si>
  <si>
    <t>ORD11122</t>
  </si>
  <si>
    <t>ORD11123</t>
  </si>
  <si>
    <t>CUST0227</t>
  </si>
  <si>
    <t>ORD11124</t>
  </si>
  <si>
    <t>ORD11125</t>
  </si>
  <si>
    <t>ORD11126</t>
  </si>
  <si>
    <t>ORD11127</t>
  </si>
  <si>
    <t>ORD11128</t>
  </si>
  <si>
    <t>ORD11129</t>
  </si>
  <si>
    <t>ORD11130</t>
  </si>
  <si>
    <t>ORD11131</t>
  </si>
  <si>
    <t>ORD11132</t>
  </si>
  <si>
    <t>ORD11133</t>
  </si>
  <si>
    <t>ORD11134</t>
  </si>
  <si>
    <t>ORD11135</t>
  </si>
  <si>
    <t>ORD11136</t>
  </si>
  <si>
    <t>ORD11137</t>
  </si>
  <si>
    <t>ORD11138</t>
  </si>
  <si>
    <t>ORD11139</t>
  </si>
  <si>
    <t>ORD11140</t>
  </si>
  <si>
    <t>ORD11141</t>
  </si>
  <si>
    <t>ORD11142</t>
  </si>
  <si>
    <t>ORD11143</t>
  </si>
  <si>
    <t>ORD11144</t>
  </si>
  <si>
    <t>ORD11145</t>
  </si>
  <si>
    <t>ORD11146</t>
  </si>
  <si>
    <t>ORD11147</t>
  </si>
  <si>
    <t>ORD11148</t>
  </si>
  <si>
    <t>ORD11149</t>
  </si>
  <si>
    <t>ORD11150</t>
  </si>
  <si>
    <t>ORD11151</t>
  </si>
  <si>
    <t>ORD11152</t>
  </si>
  <si>
    <t>ORD11153</t>
  </si>
  <si>
    <t>ORD11154</t>
  </si>
  <si>
    <t>ORD11155</t>
  </si>
  <si>
    <t>ORD11156</t>
  </si>
  <si>
    <t>ORD11157</t>
  </si>
  <si>
    <t>ORD11158</t>
  </si>
  <si>
    <t>ORD11159</t>
  </si>
  <si>
    <t>ORD11160</t>
  </si>
  <si>
    <t>ORD11161</t>
  </si>
  <si>
    <t>ORD11162</t>
  </si>
  <si>
    <t>ORD11163</t>
  </si>
  <si>
    <t>ORD11164</t>
  </si>
  <si>
    <t>ORD11165</t>
  </si>
  <si>
    <t>ORD11166</t>
  </si>
  <si>
    <t>ORD11167</t>
  </si>
  <si>
    <t>ORD11168</t>
  </si>
  <si>
    <t>ORD11169</t>
  </si>
  <si>
    <t>ORD11170</t>
  </si>
  <si>
    <t>ORD11171</t>
  </si>
  <si>
    <t>ORD11172</t>
  </si>
  <si>
    <t>ORD11173</t>
  </si>
  <si>
    <t>ORD11174</t>
  </si>
  <si>
    <t>ORD11175</t>
  </si>
  <si>
    <t>ORD11176</t>
  </si>
  <si>
    <t>ORD11177</t>
  </si>
  <si>
    <t>ORD11178</t>
  </si>
  <si>
    <t>ORD11179</t>
  </si>
  <si>
    <t>ORD11180</t>
  </si>
  <si>
    <t>ORD11181</t>
  </si>
  <si>
    <t>ORD11182</t>
  </si>
  <si>
    <t>ORD11183</t>
  </si>
  <si>
    <t>ORD11184</t>
  </si>
  <si>
    <t>ORD11185</t>
  </si>
  <si>
    <t>ORD11186</t>
  </si>
  <si>
    <t>ORD11187</t>
  </si>
  <si>
    <t>ORD11188</t>
  </si>
  <si>
    <t>ORD11189</t>
  </si>
  <si>
    <t>ORD11190</t>
  </si>
  <si>
    <t>CUST0072</t>
  </si>
  <si>
    <t>ORD11191</t>
  </si>
  <si>
    <t>ORD11192</t>
  </si>
  <si>
    <t>ORD11193</t>
  </si>
  <si>
    <t>ORD11194</t>
  </si>
  <si>
    <t>ORD11195</t>
  </si>
  <si>
    <t>ORD11196</t>
  </si>
  <si>
    <t>ORD11197</t>
  </si>
  <si>
    <t>ORD11198</t>
  </si>
  <si>
    <t>ORD11199</t>
  </si>
  <si>
    <t>ORD11200</t>
  </si>
  <si>
    <t>Item</t>
  </si>
  <si>
    <t>Details</t>
  </si>
  <si>
    <t>Project</t>
  </si>
  <si>
    <t>E-commerce Sales Dashboard</t>
  </si>
  <si>
    <t>Dataset</t>
  </si>
  <si>
    <t>Synthetic practice dataset</t>
  </si>
  <si>
    <t>Rows</t>
  </si>
  <si>
    <t>Columns</t>
  </si>
  <si>
    <t>Purpose</t>
  </si>
  <si>
    <t>Cleaning, PivotTables, KPIs, dashboard and business insights</t>
  </si>
  <si>
    <t>Note</t>
  </si>
  <si>
    <t>Created for portfolio practice; not real company data.</t>
  </si>
  <si>
    <t>Visakhapatnam</t>
  </si>
  <si>
    <t>Row Labels</t>
  </si>
  <si>
    <t>Grand Total</t>
  </si>
  <si>
    <t>Sum of Total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</si>
  <si>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</si>
  <si>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</si>
  <si>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</si>
  <si>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</si>
  <si>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</si>
  <si>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</si>
  <si>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</si>
  <si>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</si>
  <si>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</si>
  <si>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</si>
  <si>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</si>
  <si>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</si>
  <si>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SALES</t>
  </si>
  <si>
    <t>TOTAL ORDERS</t>
  </si>
  <si>
    <t>AVERAGE ORDER VALUE</t>
  </si>
  <si>
    <t>E-COMMERCE SALES DASHBOARD</t>
  </si>
  <si>
    <t>DELIVERED ORDERS</t>
  </si>
  <si>
    <t>RETURNED ORDERS</t>
  </si>
  <si>
    <t>SHIPPED ORDERS</t>
  </si>
  <si>
    <t>CANCELLED ORDERS</t>
  </si>
  <si>
    <t>PROJECT INFO - E-COMMERCE SALES DASHBOARD</t>
  </si>
  <si>
    <t>Project Objective</t>
  </si>
  <si>
    <t>To analyze e-commerce sales data and create an interactive Excel dashboard that helps identify sales performance, customer order trends, product performance, regional sales, and payment method patterns.</t>
  </si>
  <si>
    <t>Tools &amp; Technologies</t>
  </si>
  <si>
    <t>Microsoft Excel, PivotTables, PivotCharts, Excel formulas, data cleaning, data analysis, and dashboard visualization.</t>
  </si>
  <si>
    <t>Dataset Description</t>
  </si>
  <si>
    <t>Data Cleaning &amp; Preparation</t>
  </si>
  <si>
    <t>Checked the dataset for missing values, standardized inconsistent city names such as Bangalore, Vizag, and Bombay, verified the Total Sales calculations using Quantity × Unit Price, and converted Total Sales into an Excel formula for automatic calculation.</t>
  </si>
  <si>
    <t>Analysis Performed</t>
  </si>
  <si>
    <t>Analyzed sales performance by region, category, product, month, and payment method using PivotTables and PivotCharts. Also analyzed order status to understand delivered, shipped, cancelled, and returned orders.</t>
  </si>
  <si>
    <t>Key Performance Indicators</t>
  </si>
  <si>
    <t>Total Sales: ₹26,285,550 | Total Orders: 1,200 | Average Order Value: ₹21,905 | Delivered Orders: 936 | Shipped Orders: 110 | Cancelled Orders: 99 | Returned Orders: 55</t>
  </si>
  <si>
    <t>Visualizations Created</t>
  </si>
  <si>
    <t>Created PivotCharts for Sales by Region, Sales by Category, Monthly Sales Trend, Sales by Payment Method, and Top 5 Products by Sales. These visualizations were combined into an interactive E-commerce Sales Dashboard.</t>
  </si>
  <si>
    <t>Key Insights</t>
  </si>
  <si>
    <t>The analysis shows regional and category-level differences in sales performance, identifies the products generating the highest sales, highlights monthly sales patterns, and provides an overview of customer order statuses and payment methods.</t>
  </si>
  <si>
    <t>Skills Demonstrated</t>
  </si>
  <si>
    <t>Data cleaning, Excel formulas, PivotTables, PivotCharts, data analysis, KPI creation, dashboard development, data visualization, and business reporting.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</si>
</sst>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&quot;₹&quot;\ #,##0.00"/>
    <numFmt numFmtId="167" formatCode="&quot;₹&quot;\ #,##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3" fontId="0" fillId="0" borderId="0" xfId="0" applyNumberForma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[Ecommerce_Sales_Analysis_and_Dashboard.xlsx]Sales by Payment Method!PivotTable5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Payment Method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Payment Method'!$B$1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Payment Method'!$A$2:$A$7</c:f>
              <c:strCache>
                <c:ptCount val="5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'Sales by Payment Method'!$B$2:$B$7</c:f>
              <c:numCache>
                <c:formatCode>"₹"\ #,##0.00</c:formatCode>
                <c:ptCount val="5"/>
                <c:pt idx="0">
                  <c:v>2939350</c:v>
                </c:pt>
                <c:pt idx="1">
                  <c:v>5612350</c:v>
                </c:pt>
                <c:pt idx="2">
                  <c:v>5658300</c:v>
                </c:pt>
                <c:pt idx="3">
                  <c:v>2027000</c:v>
                </c:pt>
                <c:pt idx="4">
                  <c:v>10000200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EB-46EC-90C9-A0207BF74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3719824"/>
        <c:axId val="866489616"/>
      </c:barChart>
      <c:catAx>
        <c:axId val="102371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489616"/>
        <c:crosses val="autoZero"/>
        <c:auto val="1"/>
        <c:lblAlgn val="ctr"/>
        <c:lblOffset val="100"/>
        <c:noMultiLvlLbl val="0"/>
      </c:catAx>
      <c:valAx>
        <c:axId val="86648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71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[Ecommerce_Sales_Analysis_and_Dashboard.xlsx]Sales by Product!PivotTable4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Product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Product'!$B$1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Product'!$A$2:$A$7</c:f>
              <c:strCache>
                <c:ptCount val="5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</c:strCache>
            </c:strRef>
          </c:cat>
          <c:val>
            <c:numRef>
              <c:f>'Sales by Product'!$B$2:$B$7</c:f>
              <c:numCache>
                <c:formatCode>"₹"\ #,##0.00</c:formatCode>
                <c:ptCount val="5"/>
                <c:pt idx="0">
                  <c:v>3797050</c:v>
                </c:pt>
                <c:pt idx="1">
                  <c:v>2480700</c:v>
                </c:pt>
                <c:pt idx="2">
                  <c:v>3714750</c:v>
                </c:pt>
                <c:pt idx="3">
                  <c:v>4098950</c:v>
                </c:pt>
                <c:pt idx="4">
                  <c:v>3150100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A-4370-8DAB-3096C2CA1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3707296"/>
        <c:axId val="866424336"/>
      </c:barChart>
      <c:catAx>
        <c:axId val="102370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424336"/>
        <c:crosses val="autoZero"/>
        <c:auto val="1"/>
        <c:lblAlgn val="ctr"/>
        <c:lblOffset val="100"/>
        <c:noMultiLvlLbl val="0"/>
      </c:catAx>
      <c:valAx>
        <c:axId val="86642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70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[Ecommerce_Sales_Analysis_and_Dashboard.xlsx]Sales by Region!PivotTable1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</a:t>
            </a:r>
            <a:r>
              <a:rPr lang="en-IN" b="1" baseline="0"/>
              <a:t> by Region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38126575502263133"/>
          <c:y val="0.125264954125632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"₹"\ #,##0.00</c:formatCode>
                <c:ptCount val="4"/>
                <c:pt idx="0">
                  <c:v>4950900</c:v>
                </c:pt>
                <c:pt idx="1">
                  <c:v>5579750</c:v>
                </c:pt>
                <c:pt idx="2">
                  <c:v>10271750</c:v>
                </c:pt>
                <c:pt idx="3">
                  <c:v>5483150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0-4F43-A4EC-73D633AFD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9165600"/>
        <c:axId val="866486736"/>
      </c:barChart>
      <c:catAx>
        <c:axId val="70916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486736"/>
        <c:crosses val="autoZero"/>
        <c:auto val="1"/>
        <c:lblAlgn val="ctr"/>
        <c:lblOffset val="100"/>
        <c:noMultiLvlLbl val="0"/>
      </c:catAx>
      <c:valAx>
        <c:axId val="86648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16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[Ecommerce_Sales_Analysis_and_Dashboard.xlsx]Sales by Category!PivotTable2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Category'!$A$2:$A$7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'Sales by Category'!$B$2:$B$7</c:f>
              <c:numCache>
                <c:formatCode>"₹"\ #,##0.00</c:formatCode>
                <c:ptCount val="5"/>
                <c:pt idx="0">
                  <c:v>733000</c:v>
                </c:pt>
                <c:pt idx="1">
                  <c:v>19344850</c:v>
                </c:pt>
                <c:pt idx="2">
                  <c:v>1890700</c:v>
                </c:pt>
                <c:pt idx="3">
                  <c:v>2364100</c:v>
                </c:pt>
                <c:pt idx="4">
                  <c:v>1952900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A-4177-A6A1-EB1D1DCCE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3216128"/>
        <c:axId val="866509296"/>
      </c:barChart>
      <c:catAx>
        <c:axId val="93321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509296"/>
        <c:crosses val="autoZero"/>
        <c:auto val="1"/>
        <c:lblAlgn val="ctr"/>
        <c:lblOffset val="100"/>
        <c:noMultiLvlLbl val="0"/>
      </c:catAx>
      <c:valAx>
        <c:axId val="86650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21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[Ecommerce_Sales_Analysis_and_Dashboard.xlsx]Monthly Sales Trend!PivotTable3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</a:t>
            </a:r>
            <a:r>
              <a:rPr lang="en-US" b="1" baseline="0"/>
              <a:t> Sales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Trend'!$B$1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Sales Trend'!$A$2:$A$14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Trend'!$B$2:$B$14</c:f>
              <c:numCache>
                <c:formatCode>"₹"\ #,##0.00</c:formatCode>
                <c:ptCount val="12"/>
                <c:pt idx="0">
                  <c:v>2854700</c:v>
                </c:pt>
                <c:pt idx="1">
                  <c:v>2293250</c:v>
                </c:pt>
                <c:pt idx="2">
                  <c:v>2036600</c:v>
                </c:pt>
                <c:pt idx="3">
                  <c:v>2203000</c:v>
                </c:pt>
                <c:pt idx="4">
                  <c:v>2096950</c:v>
                </c:pt>
                <c:pt idx="5">
                  <c:v>2133100</c:v>
                </c:pt>
                <c:pt idx="6">
                  <c:v>2122150</c:v>
                </c:pt>
                <c:pt idx="7">
                  <c:v>2047000</c:v>
                </c:pt>
                <c:pt idx="8">
                  <c:v>2094500</c:v>
                </c:pt>
                <c:pt idx="9">
                  <c:v>2385450</c:v>
                </c:pt>
                <c:pt idx="10">
                  <c:v>2005900</c:v>
                </c:pt>
                <c:pt idx="11">
                  <c:v>2012950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52-4DC6-A7AA-E2D04FE3D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2160048"/>
        <c:axId val="866485776"/>
      </c:barChart>
      <c:catAx>
        <c:axId val="93216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485776"/>
        <c:crosses val="autoZero"/>
        <c:auto val="1"/>
        <c:lblAlgn val="ctr"/>
        <c:lblOffset val="100"/>
        <c:noMultiLvlLbl val="0"/>
      </c:catAx>
      <c:valAx>
        <c:axId val="86648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16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[Ecommerce_Sales_Analysis_and_Dashboard.xlsx]Sales by Product!PivotTable4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5 Products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Product'!$B$1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Product'!$A$2:$A$7</c:f>
              <c:strCache>
                <c:ptCount val="5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</c:strCache>
            </c:strRef>
          </c:cat>
          <c:val>
            <c:numRef>
              <c:f>'Sales by Product'!$B$2:$B$7</c:f>
              <c:numCache>
                <c:formatCode>"₹"\ #,##0.00</c:formatCode>
                <c:ptCount val="5"/>
                <c:pt idx="0">
                  <c:v>3797050</c:v>
                </c:pt>
                <c:pt idx="1">
                  <c:v>2480700</c:v>
                </c:pt>
                <c:pt idx="2">
                  <c:v>3714750</c:v>
                </c:pt>
                <c:pt idx="3">
                  <c:v>4098950</c:v>
                </c:pt>
                <c:pt idx="4">
                  <c:v>3150100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EB-41CD-9DE3-5357C6BBD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3707296"/>
        <c:axId val="866424336"/>
      </c:barChart>
      <c:catAx>
        <c:axId val="102370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424336"/>
        <c:crosses val="autoZero"/>
        <c:auto val="1"/>
        <c:lblAlgn val="ctr"/>
        <c:lblOffset val="100"/>
        <c:noMultiLvlLbl val="0"/>
      </c:catAx>
      <c:valAx>
        <c:axId val="86642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70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[Ecommerce_Sales_Analysis_and_Dashboard.xlsx]Sales by Payment Method!PivotTable5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Payment Method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Payment Method'!$B$1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Payment Method'!$A$2:$A$7</c:f>
              <c:strCache>
                <c:ptCount val="5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'Sales by Payment Method'!$B$2:$B$7</c:f>
              <c:numCache>
                <c:formatCode>"₹"\ #,##0.00</c:formatCode>
                <c:ptCount val="5"/>
                <c:pt idx="0">
                  <c:v>2939350</c:v>
                </c:pt>
                <c:pt idx="1">
                  <c:v>5612350</c:v>
                </c:pt>
                <c:pt idx="2">
                  <c:v>5658300</c:v>
                </c:pt>
                <c:pt idx="3">
                  <c:v>2027000</c:v>
                </c:pt>
                <c:pt idx="4">
                  <c:v>10000200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2E-4422-85E1-02E1C48F9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3719824"/>
        <c:axId val="866489616"/>
      </c:barChart>
      <c:catAx>
        <c:axId val="102371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489616"/>
        <c:crosses val="autoZero"/>
        <c:auto val="1"/>
        <c:lblAlgn val="ctr"/>
        <c:lblOffset val="100"/>
        <c:noMultiLvlLbl val="0"/>
      </c:catAx>
      <c:valAx>
        <c:axId val="86648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71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[Ecommerce_Sales_Analysis_and_Dashboard.xlsx]Monthly Sales Trend!PivotTable3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</a:t>
            </a:r>
            <a:r>
              <a:rPr lang="en-US" b="1" baseline="0"/>
              <a:t> Sales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Trend'!$B$1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Sales Trend'!$A$2:$A$14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Trend'!$B$2:$B$14</c:f>
              <c:numCache>
                <c:formatCode>"₹"\ #,##0.00</c:formatCode>
                <c:ptCount val="12"/>
                <c:pt idx="0">
                  <c:v>2854700</c:v>
                </c:pt>
                <c:pt idx="1">
                  <c:v>2293250</c:v>
                </c:pt>
                <c:pt idx="2">
                  <c:v>2036600</c:v>
                </c:pt>
                <c:pt idx="3">
                  <c:v>2203000</c:v>
                </c:pt>
                <c:pt idx="4">
                  <c:v>2096950</c:v>
                </c:pt>
                <c:pt idx="5">
                  <c:v>2133100</c:v>
                </c:pt>
                <c:pt idx="6">
                  <c:v>2122150</c:v>
                </c:pt>
                <c:pt idx="7">
                  <c:v>2047000</c:v>
                </c:pt>
                <c:pt idx="8">
                  <c:v>2094500</c:v>
                </c:pt>
                <c:pt idx="9">
                  <c:v>2385450</c:v>
                </c:pt>
                <c:pt idx="10">
                  <c:v>2005900</c:v>
                </c:pt>
                <c:pt idx="11">
                  <c:v>2012950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4-417D-8C66-23456C12C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2160048"/>
        <c:axId val="866485776"/>
      </c:barChart>
      <c:catAx>
        <c:axId val="93216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485776"/>
        <c:crosses val="autoZero"/>
        <c:auto val="1"/>
        <c:lblAlgn val="ctr"/>
        <c:lblOffset val="100"/>
        <c:noMultiLvlLbl val="0"/>
      </c:catAx>
      <c:valAx>
        <c:axId val="86648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16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[Ecommerce_Sales_Analysis_and_Dashboard.xlsx]Sales by Category!PivotTable2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Category'!$A$2:$A$7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'Sales by Category'!$B$2:$B$7</c:f>
              <c:numCache>
                <c:formatCode>"₹"\ #,##0.00</c:formatCode>
                <c:ptCount val="5"/>
                <c:pt idx="0">
                  <c:v>733000</c:v>
                </c:pt>
                <c:pt idx="1">
                  <c:v>19344850</c:v>
                </c:pt>
                <c:pt idx="2">
                  <c:v>1890700</c:v>
                </c:pt>
                <c:pt idx="3">
                  <c:v>2364100</c:v>
                </c:pt>
                <c:pt idx="4">
                  <c:v>1952900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2-42F3-91E1-84134A45A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3216128"/>
        <c:axId val="866509296"/>
      </c:barChart>
      <c:catAx>
        <c:axId val="93321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509296"/>
        <c:crosses val="autoZero"/>
        <c:auto val="1"/>
        <c:lblAlgn val="ctr"/>
        <c:lblOffset val="100"/>
        <c:noMultiLvlLbl val="0"/>
      </c:catAx>
      <c:valAx>
        <c:axId val="86650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21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[Ecommerce_Sales_Analysis_and_Dashboard.xlsx]Sales by Region!PivotTable1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</a:t>
            </a:r>
            <a:r>
              <a:rPr lang="en-IN" b="1" baseline="0"/>
              <a:t> by Region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38126575502263133"/>
          <c:y val="0.125264954125632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"₹"\ #,##0.00</c:formatCode>
                <c:ptCount val="4"/>
                <c:pt idx="0">
                  <c:v>4950900</c:v>
                </c:pt>
                <c:pt idx="1">
                  <c:v>5579750</c:v>
                </c:pt>
                <c:pt idx="2">
                  <c:v>10271750</c:v>
                </c:pt>
                <c:pt idx="3">
                  <c:v>5483150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5E-4A8E-97D4-AB0567ED5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9165600"/>
        <c:axId val="866486736"/>
      </c:barChart>
      <c:catAx>
        <c:axId val="70916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486736"/>
        <c:crosses val="autoZero"/>
        <c:auto val="1"/>
        <c:lblAlgn val="ctr"/>
        <c:lblOffset val="100"/>
        <c:noMultiLvlLbl val="0"/>
      </c:catAx>
      <c:valAx>
        <c:axId val="86648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16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EA0C9B-FB9B-8383-4631-FE623BCFFC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D4A45E-7A5C-1D14-6D44-DF4225E6F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3</xdr:col>
      <xdr:colOff>1066800</xdr:colOff>
      <xdr:row>19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A72570-2EFA-4115-8B58-E8C44D57AE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5</xdr:row>
      <xdr:rowOff>0</xdr:rowOff>
    </xdr:from>
    <xdr:to>
      <xdr:col>15</xdr:col>
      <xdr:colOff>259080</xdr:colOff>
      <xdr:row>18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CC33F3-37D5-4060-8E9C-FAA2A5AF72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22</xdr:row>
      <xdr:rowOff>0</xdr:rowOff>
    </xdr:from>
    <xdr:to>
      <xdr:col>3</xdr:col>
      <xdr:colOff>1287780</xdr:colOff>
      <xdr:row>37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D13D72-CE1B-4B91-83C9-EDBA239D1A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-1</xdr:colOff>
      <xdr:row>22</xdr:row>
      <xdr:rowOff>0</xdr:rowOff>
    </xdr:from>
    <xdr:to>
      <xdr:col>15</xdr:col>
      <xdr:colOff>326570</xdr:colOff>
      <xdr:row>37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5C825F-97DD-4481-9E94-0FBFE3EEC5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111760</xdr:colOff>
      <xdr:row>22</xdr:row>
      <xdr:rowOff>10160</xdr:rowOff>
    </xdr:from>
    <xdr:to>
      <xdr:col>8</xdr:col>
      <xdr:colOff>223520</xdr:colOff>
      <xdr:row>37</xdr:row>
      <xdr:rowOff>121920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3852F4B-B746-49A7-94FD-D0A03672AC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7B57E4-49F0-7D12-C511-B9A3CAD2F1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297180</xdr:colOff>
      <xdr:row>11</xdr:row>
      <xdr:rowOff>68580</xdr:rowOff>
    </xdr:from>
    <xdr:to>
      <xdr:col>8</xdr:col>
      <xdr:colOff>571500</xdr:colOff>
      <xdr:row>28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28F648-3EF3-83EB-CC33-D8984BDB7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129540</xdr:colOff>
      <xdr:row>9</xdr:row>
      <xdr:rowOff>106680</xdr:rowOff>
    </xdr:from>
    <xdr:to>
      <xdr:col>10</xdr:col>
      <xdr:colOff>259080</xdr:colOff>
      <xdr:row>23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1F5DCF-2C4B-6FF8-8577-DA7EEE62A8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rna" refreshedDate="46294.433367592595" createdVersion="8" refreshedVersion="8" minRefreshableVersion="3" recordCount="1200" xr:uid="{0E96C623-7DA7-41D0-8660-F8B5C353EDCC}">
  <cacheSource type="worksheet">
    <worksheetSource ref="A1:L1201" sheet="Raw Data"/>
  </cacheSource>
  <cacheFields count="14">
    <cacheField name="Order ID" numFmtId="0">
      <sharedItems/>
    </cacheField>
    <cacheField name="Customer ID" numFmtId="0">
      <sharedItems containsBlank="1"/>
    </cacheField>
    <cacheField name="Order Date" numFmtId="164">
      <sharedItems containsSemiMixedTypes="0" containsNonDate="0" containsDate="1" containsString="0" minDate="2025-01-01T00:00:00" maxDate="2026-01-01T00:00:00" count="351">
        <d v="2025-04-10T00:00:00"/>
        <d v="2025-11-10T00:00:00"/>
        <d v="2025-06-24T00:00:00"/>
        <d v="2025-03-30T00:00:00"/>
        <d v="2025-02-04T00:00:00"/>
        <d v="2025-08-06T00:00:00"/>
        <d v="2025-10-23T00:00:00"/>
        <d v="2025-01-15T00:00:00"/>
        <d v="2025-06-12T00:00:00"/>
        <d v="2025-02-17T00:00:00"/>
        <d v="2025-09-14T00:00:00"/>
        <d v="2025-02-21T00:00:00"/>
        <d v="2025-07-06T00:00:00"/>
        <d v="2025-10-13T00:00:00"/>
        <d v="2025-08-21T00:00:00"/>
        <d v="2025-04-06T00:00:00"/>
        <d v="2025-04-23T00:00:00"/>
        <d v="2025-05-10T00:00:00"/>
        <d v="2025-10-07T00:00:00"/>
        <d v="2025-09-16T00:00:00"/>
        <d v="2025-05-08T00:00:00"/>
        <d v="2025-05-24T00:00:00"/>
        <d v="2025-04-14T00:00:00"/>
        <d v="2025-07-14T00:00:00"/>
        <d v="2025-02-20T00:00:00"/>
        <d v="2025-10-31T00:00:00"/>
        <d v="2025-06-10T00:00:00"/>
        <d v="2025-12-08T00:00:00"/>
        <d v="2025-09-04T00:00:00"/>
        <d v="2025-05-22T00:00:00"/>
        <d v="2025-05-30T00:00:00"/>
        <d v="2025-04-18T00:00:00"/>
        <d v="2025-05-04T00:00:00"/>
        <d v="2025-10-06T00:00:00"/>
        <d v="2025-08-25T00:00:00"/>
        <d v="2025-03-27T00:00:00"/>
        <d v="2025-12-07T00:00:00"/>
        <d v="2025-09-07T00:00:00"/>
        <d v="2025-06-09T00:00:00"/>
        <d v="2025-06-17T00:00:00"/>
        <d v="2025-03-31T00:00:00"/>
        <d v="2025-08-05T00:00:00"/>
        <d v="2025-06-01T00:00:00"/>
        <d v="2025-03-25T00:00:00"/>
        <d v="2025-07-25T00:00:00"/>
        <d v="2025-05-31T00:00:00"/>
        <d v="2025-11-27T00:00:00"/>
        <d v="2025-10-10T00:00:00"/>
        <d v="2025-02-08T00:00:00"/>
        <d v="2025-01-01T00:00:00"/>
        <d v="2025-02-13T00:00:00"/>
        <d v="2025-01-20T00:00:00"/>
        <d v="2025-01-12T00:00:00"/>
        <d v="2025-01-28T00:00:00"/>
        <d v="2025-08-28T00:00:00"/>
        <d v="2025-08-30T00:00:00"/>
        <d v="2025-03-04T00:00:00"/>
        <d v="2025-01-06T00:00:00"/>
        <d v="2025-05-25T00:00:00"/>
        <d v="2025-12-14T00:00:00"/>
        <d v="2025-08-10T00:00:00"/>
        <d v="2025-07-11T00:00:00"/>
        <d v="2025-01-30T00:00:00"/>
        <d v="2025-02-03T00:00:00"/>
        <d v="2025-04-05T00:00:00"/>
        <d v="2025-05-02T00:00:00"/>
        <d v="2025-12-12T00:00:00"/>
        <d v="2025-12-16T00:00:00"/>
        <d v="2025-02-25T00:00:00"/>
        <d v="2025-01-03T00:00:00"/>
        <d v="2025-03-08T00:00:00"/>
        <d v="2025-04-11T00:00:00"/>
        <d v="2025-10-04T00:00:00"/>
        <d v="2025-01-31T00:00:00"/>
        <d v="2025-04-04T00:00:00"/>
        <d v="2025-04-28T00:00:00"/>
        <d v="2025-05-19T00:00:00"/>
        <d v="2025-01-13T00:00:00"/>
        <d v="2025-01-05T00:00:00"/>
        <d v="2025-10-15T00:00:00"/>
        <d v="2025-10-16T00:00:00"/>
        <d v="2025-07-03T00:00:00"/>
        <d v="2025-10-09T00:00:00"/>
        <d v="2025-12-29T00:00:00"/>
        <d v="2025-11-20T00:00:00"/>
        <d v="2025-10-24T00:00:00"/>
        <d v="2025-02-24T00:00:00"/>
        <d v="2025-09-01T00:00:00"/>
        <d v="2025-09-08T00:00:00"/>
        <d v="2025-06-05T00:00:00"/>
        <d v="2025-02-18T00:00:00"/>
        <d v="2025-06-15T00:00:00"/>
        <d v="2025-03-28T00:00:00"/>
        <d v="2025-02-23T00:00:00"/>
        <d v="2025-04-30T00:00:00"/>
        <d v="2025-01-11T00:00:00"/>
        <d v="2025-02-22T00:00:00"/>
        <d v="2025-08-12T00:00:00"/>
        <d v="2025-01-04T00:00:00"/>
        <d v="2025-08-07T00:00:00"/>
        <d v="2025-02-15T00:00:00"/>
        <d v="2025-11-08T00:00:00"/>
        <d v="2025-06-03T00:00:00"/>
        <d v="2025-05-11T00:00:00"/>
        <d v="2025-01-17T00:00:00"/>
        <d v="2025-07-17T00:00:00"/>
        <d v="2025-07-18T00:00:00"/>
        <d v="2025-11-11T00:00:00"/>
        <d v="2025-09-02T00:00:00"/>
        <d v="2025-11-01T00:00:00"/>
        <d v="2025-10-29T00:00:00"/>
        <d v="2025-08-31T00:00:00"/>
        <d v="2025-04-15T00:00:00"/>
        <d v="2025-09-18T00:00:00"/>
        <d v="2025-11-12T00:00:00"/>
        <d v="2025-02-14T00:00:00"/>
        <d v="2025-09-15T00:00:00"/>
        <d v="2025-12-20T00:00:00"/>
        <d v="2025-03-01T00:00:00"/>
        <d v="2025-07-12T00:00:00"/>
        <d v="2025-01-07T00:00:00"/>
        <d v="2025-10-12T00:00:00"/>
        <d v="2025-10-08T00:00:00"/>
        <d v="2025-03-20T00:00:00"/>
        <d v="2025-12-10T00:00:00"/>
        <d v="2025-03-18T00:00:00"/>
        <d v="2025-12-26T00:00:00"/>
        <d v="2025-11-24T00:00:00"/>
        <d v="2025-07-30T00:00:00"/>
        <d v="2025-11-28T00:00:00"/>
        <d v="2025-09-19T00:00:00"/>
        <d v="2025-12-21T00:00:00"/>
        <d v="2025-02-10T00:00:00"/>
        <d v="2025-12-11T00:00:00"/>
        <d v="2025-10-14T00:00:00"/>
        <d v="2025-09-21T00:00:00"/>
        <d v="2025-10-20T00:00:00"/>
        <d v="2025-01-08T00:00:00"/>
        <d v="2025-04-29T00:00:00"/>
        <d v="2025-04-08T00:00:00"/>
        <d v="2025-08-16T00:00:00"/>
        <d v="2025-05-12T00:00:00"/>
        <d v="2025-10-25T00:00:00"/>
        <d v="2025-07-27T00:00:00"/>
        <d v="2025-06-13T00:00:00"/>
        <d v="2025-11-16T00:00:00"/>
        <d v="2025-03-14T00:00:00"/>
        <d v="2025-04-12T00:00:00"/>
        <d v="2025-10-30T00:00:00"/>
        <d v="2025-10-19T00:00:00"/>
        <d v="2025-07-09T00:00:00"/>
        <d v="2025-08-27T00:00:00"/>
        <d v="2025-01-14T00:00:00"/>
        <d v="2025-01-25T00:00:00"/>
        <d v="2025-04-09T00:00:00"/>
        <d v="2025-09-30T00:00:00"/>
        <d v="2025-03-03T00:00:00"/>
        <d v="2025-06-30T00:00:00"/>
        <d v="2025-04-27T00:00:00"/>
        <d v="2025-02-11T00:00:00"/>
        <d v="2025-04-07T00:00:00"/>
        <d v="2025-02-12T00:00:00"/>
        <d v="2025-07-02T00:00:00"/>
        <d v="2025-06-23T00:00:00"/>
        <d v="2025-05-29T00:00:00"/>
        <d v="2025-01-29T00:00:00"/>
        <d v="2025-07-08T00:00:00"/>
        <d v="2025-04-21T00:00:00"/>
        <d v="2025-12-28T00:00:00"/>
        <d v="2025-08-09T00:00:00"/>
        <d v="2025-06-08T00:00:00"/>
        <d v="2025-12-22T00:00:00"/>
        <d v="2025-02-16T00:00:00"/>
        <d v="2025-12-15T00:00:00"/>
        <d v="2025-05-09T00:00:00"/>
        <d v="2025-08-01T00:00:00"/>
        <d v="2025-07-01T00:00:00"/>
        <d v="2025-01-21T00:00:00"/>
        <d v="2025-07-15T00:00:00"/>
        <d v="2025-06-18T00:00:00"/>
        <d v="2025-04-22T00:00:00"/>
        <d v="2025-02-28T00:00:00"/>
        <d v="2025-08-02T00:00:00"/>
        <d v="2025-03-07T00:00:00"/>
        <d v="2025-06-27T00:00:00"/>
        <d v="2025-03-13T00:00:00"/>
        <d v="2025-04-24T00:00:00"/>
        <d v="2025-09-03T00:00:00"/>
        <d v="2025-09-26T00:00:00"/>
        <d v="2025-12-04T00:00:00"/>
        <d v="2025-04-20T00:00:00"/>
        <d v="2025-05-01T00:00:00"/>
        <d v="2025-11-04T00:00:00"/>
        <d v="2025-01-02T00:00:00"/>
        <d v="2025-09-24T00:00:00"/>
        <d v="2025-12-27T00:00:00"/>
        <d v="2025-04-03T00:00:00"/>
        <d v="2025-11-06T00:00:00"/>
        <d v="2025-06-02T00:00:00"/>
        <d v="2025-03-23T00:00:00"/>
        <d v="2025-08-23T00:00:00"/>
        <d v="2025-10-11T00:00:00"/>
        <d v="2025-10-21T00:00:00"/>
        <d v="2025-03-09T00:00:00"/>
        <d v="2025-04-19T00:00:00"/>
        <d v="2025-09-06T00:00:00"/>
        <d v="2025-04-01T00:00:00"/>
        <d v="2025-12-03T00:00:00"/>
        <d v="2025-07-23T00:00:00"/>
        <d v="2025-07-20T00:00:00"/>
        <d v="2025-12-24T00:00:00"/>
        <d v="2025-10-17T00:00:00"/>
        <d v="2025-07-24T00:00:00"/>
        <d v="2025-11-21T00:00:00"/>
        <d v="2025-06-11T00:00:00"/>
        <d v="2025-05-14T00:00:00"/>
        <d v="2025-05-15T00:00:00"/>
        <d v="2025-08-14T00:00:00"/>
        <d v="2025-11-29T00:00:00"/>
        <d v="2025-12-18T00:00:00"/>
        <d v="2025-03-15T00:00:00"/>
        <d v="2025-06-04T00:00:00"/>
        <d v="2025-10-05T00:00:00"/>
        <d v="2025-12-23T00:00:00"/>
        <d v="2025-05-03T00:00:00"/>
        <d v="2025-05-21T00:00:00"/>
        <d v="2025-03-06T00:00:00"/>
        <d v="2025-03-19T00:00:00"/>
        <d v="2025-12-05T00:00:00"/>
        <d v="2025-11-18T00:00:00"/>
        <d v="2025-09-05T00:00:00"/>
        <d v="2025-04-17T00:00:00"/>
        <d v="2025-02-27T00:00:00"/>
        <d v="2025-07-26T00:00:00"/>
        <d v="2025-03-26T00:00:00"/>
        <d v="2025-05-18T00:00:00"/>
        <d v="2025-05-27T00:00:00"/>
        <d v="2025-08-20T00:00:00"/>
        <d v="2025-11-09T00:00:00"/>
        <d v="2025-03-05T00:00:00"/>
        <d v="2025-03-22T00:00:00"/>
        <d v="2025-03-02T00:00:00"/>
        <d v="2025-07-16T00:00:00"/>
        <d v="2025-07-31T00:00:00"/>
        <d v="2025-08-19T00:00:00"/>
        <d v="2025-12-30T00:00:00"/>
        <d v="2025-05-06T00:00:00"/>
        <d v="2025-04-16T00:00:00"/>
        <d v="2025-09-28T00:00:00"/>
        <d v="2025-02-01T00:00:00"/>
        <d v="2025-05-07T00:00:00"/>
        <d v="2025-10-03T00:00:00"/>
        <d v="2025-06-29T00:00:00"/>
        <d v="2025-03-17T00:00:00"/>
        <d v="2025-02-09T00:00:00"/>
        <d v="2025-02-06T00:00:00"/>
        <d v="2025-05-16T00:00:00"/>
        <d v="2025-03-24T00:00:00"/>
        <d v="2025-09-23T00:00:00"/>
        <d v="2025-06-14T00:00:00"/>
        <d v="2025-11-25T00:00:00"/>
        <d v="2025-11-17T00:00:00"/>
        <d v="2025-06-20T00:00:00"/>
        <d v="2025-02-05T00:00:00"/>
        <d v="2025-12-31T00:00:00"/>
        <d v="2025-12-06T00:00:00"/>
        <d v="2025-10-26T00:00:00"/>
        <d v="2025-07-29T00:00:00"/>
        <d v="2025-07-07T00:00:00"/>
        <d v="2025-01-16T00:00:00"/>
        <d v="2025-08-24T00:00:00"/>
        <d v="2025-06-16T00:00:00"/>
        <d v="2025-06-28T00:00:00"/>
        <d v="2025-11-02T00:00:00"/>
        <d v="2025-11-15T00:00:00"/>
        <d v="2025-08-08T00:00:00"/>
        <d v="2025-03-29T00:00:00"/>
        <d v="2025-03-11T00:00:00"/>
        <d v="2025-04-13T00:00:00"/>
        <d v="2025-08-04T00:00:00"/>
        <d v="2025-07-10T00:00:00"/>
        <d v="2025-06-21T00:00:00"/>
        <d v="2025-08-15T00:00:00"/>
        <d v="2025-08-29T00:00:00"/>
        <d v="2025-02-26T00:00:00"/>
        <d v="2025-07-22T00:00:00"/>
        <d v="2025-05-28T00:00:00"/>
        <d v="2025-09-11T00:00:00"/>
        <d v="2025-09-29T00:00:00"/>
        <d v="2025-08-26T00:00:00"/>
        <d v="2025-11-03T00:00:00"/>
        <d v="2025-01-18T00:00:00"/>
        <d v="2025-08-22T00:00:00"/>
        <d v="2025-01-27T00:00:00"/>
        <d v="2025-01-19T00:00:00"/>
        <d v="2025-09-12T00:00:00"/>
        <d v="2025-11-30T00:00:00"/>
        <d v="2025-08-13T00:00:00"/>
        <d v="2025-02-07T00:00:00"/>
        <d v="2025-05-05T00:00:00"/>
        <d v="2025-09-22T00:00:00"/>
        <d v="2025-06-26T00:00:00"/>
        <d v="2025-03-16T00:00:00"/>
        <d v="2025-12-02T00:00:00"/>
        <d v="2025-05-20T00:00:00"/>
        <d v="2025-05-17T00:00:00"/>
        <d v="2025-12-19T00:00:00"/>
        <d v="2025-06-19T00:00:00"/>
        <d v="2025-12-25T00:00:00"/>
        <d v="2025-07-05T00:00:00"/>
        <d v="2025-11-26T00:00:00"/>
        <d v="2025-10-28T00:00:00"/>
        <d v="2025-02-19T00:00:00"/>
        <d v="2025-01-24T00:00:00"/>
        <d v="2025-04-02T00:00:00"/>
        <d v="2025-08-18T00:00:00"/>
        <d v="2025-09-20T00:00:00"/>
        <d v="2025-07-21T00:00:00"/>
        <d v="2025-11-07T00:00:00"/>
        <d v="2025-11-23T00:00:00"/>
        <d v="2025-11-22T00:00:00"/>
        <d v="2025-09-25T00:00:00"/>
        <d v="2025-01-26T00:00:00"/>
        <d v="2025-05-26T00:00:00"/>
        <d v="2025-09-10T00:00:00"/>
        <d v="2025-02-02T00:00:00"/>
        <d v="2025-01-23T00:00:00"/>
        <d v="2025-09-27T00:00:00"/>
        <d v="2025-06-07T00:00:00"/>
        <d v="2025-11-05T00:00:00"/>
        <d v="2025-06-22T00:00:00"/>
        <d v="2025-03-21T00:00:00"/>
        <d v="2025-11-13T00:00:00"/>
        <d v="2025-08-11T00:00:00"/>
        <d v="2025-04-25T00:00:00"/>
        <d v="2025-10-01T00:00:00"/>
        <d v="2025-10-18T00:00:00"/>
        <d v="2025-06-06T00:00:00"/>
        <d v="2025-12-09T00:00:00"/>
        <d v="2025-12-01T00:00:00"/>
        <d v="2025-04-26T00:00:00"/>
        <d v="2025-08-17T00:00:00"/>
        <d v="2025-06-25T00:00:00"/>
        <d v="2025-03-12T00:00:00"/>
        <d v="2025-10-22T00:00:00"/>
        <d v="2025-07-28T00:00:00"/>
        <d v="2025-10-02T00:00:00"/>
        <d v="2025-08-03T00:00:00"/>
        <d v="2025-01-22T00:00:00"/>
        <d v="2025-07-13T00:00:00"/>
        <d v="2025-09-13T00:00:00"/>
      </sharedItems>
      <fieldGroup par="13"/>
    </cacheField>
    <cacheField name="Region" numFmtId="0">
      <sharedItems count="4">
        <s v="South"/>
        <s v="North"/>
        <s v="East"/>
        <s v="West"/>
      </sharedItems>
    </cacheField>
    <cacheField name="City" numFmtId="0">
      <sharedItems containsBlank="1"/>
    </cacheField>
    <cacheField name="Category" numFmtId="0">
      <sharedItems count="5">
        <s v="Home &amp; Kitchen"/>
        <s v="Electronics"/>
        <s v="Fashion"/>
        <s v="Sports"/>
        <s v="Beauty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containsInteger="1" minValue="200" maxValue="64950"/>
    </cacheField>
    <cacheField name="Payment Method" numFmtId="0">
      <sharedItems containsBlank="1" count="6">
        <s v="UPI"/>
        <s v="Debit Card"/>
        <s v="Credit Card"/>
        <s v="Cash on Delivery"/>
        <s v="Net Banking"/>
        <m/>
      </sharedItems>
    </cacheField>
    <cacheField name="Order Status" numFmtId="0">
      <sharedItems/>
    </cacheField>
    <cacheField name="Total Sales" numFmtId="165">
      <sharedItems containsSemiMixedTypes="0" containsString="0" containsNumber="1" containsInteger="1" minValue="350" maxValue="271000"/>
    </cacheField>
    <cacheField name="Days (Order Date)" numFmtId="0" databaseField="0">
      <fieldGroup base="2">
        <rangePr groupBy="days" startDate="2025-01-01T00:00:00" endDate="2026-01-01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6"/>
        </groupItems>
      </fieldGroup>
    </cacheField>
    <cacheField name="Months (Order Date)" numFmtId="0" databaseField="0">
      <fieldGroup base="2">
        <rangePr groupBy="months" startDate="2025-01-01T00:00:00" endDate="2026-01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rna" refreshedDate="46294.44631446759" createdVersion="8" refreshedVersion="8" minRefreshableVersion="3" recordCount="1020" xr:uid="{6F1444FA-CBA8-49BA-B2E2-F84A9D423F3F}">
  <cacheSource type="worksheet">
    <worksheetSource ref="A1:L1021" sheet="Raw Data"/>
  </cacheSource>
  <cacheFields count="12">
    <cacheField name="Order ID" numFmtId="0">
      <sharedItems/>
    </cacheField>
    <cacheField name="Customer ID" numFmtId="0">
      <sharedItems containsBlank="1"/>
    </cacheField>
    <cacheField name="Order Date" numFmtId="164">
      <sharedItems containsSemiMixedTypes="0" containsNonDate="0" containsDate="1" containsString="0" minDate="2025-01-01T00:00:00" maxDate="2026-01-01T00:00:00"/>
    </cacheField>
    <cacheField name="Region" numFmtId="0">
      <sharedItems/>
    </cacheField>
    <cacheField name="City" numFmtId="0">
      <sharedItems containsBlank="1"/>
    </cacheField>
    <cacheField name="Category" numFmtId="0">
      <sharedItems/>
    </cacheField>
    <cacheField name="Product" numFmtId="0">
      <sharedItems count="25">
        <s v="Table Lamp"/>
        <s v="Monitor"/>
        <s v="Backpack"/>
        <s v="Cricket Bat"/>
        <s v="Running Shoes"/>
        <s v="Air Fryer"/>
        <s v="Dumbbells"/>
        <s v="Laptop"/>
        <s v="Moisturizer"/>
        <s v="Water Bottle"/>
        <s v="Football"/>
        <s v="Jeans"/>
        <s v="Sneakers"/>
        <s v="T-Shirt"/>
        <s v="Face Wash"/>
        <s v="Cookware Set"/>
        <s v="Headphones"/>
        <s v="Keyboard"/>
        <s v="Mixer Grinder"/>
        <s v="Yoga Mat"/>
        <s v="Hair Dryer"/>
        <s v="Watch"/>
        <s v="Smartphone"/>
        <s v="Perfume"/>
        <s v="Shampoo"/>
      </sharedItems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containsInteger="1" minValue="200" maxValue="64950"/>
    </cacheField>
    <cacheField name="Payment Method" numFmtId="0">
      <sharedItems containsBlank="1"/>
    </cacheField>
    <cacheField name="Order Status" numFmtId="0">
      <sharedItems/>
    </cacheField>
    <cacheField name="Total Sales" numFmtId="165">
      <sharedItems containsSemiMixedTypes="0" containsString="0" containsNumber="1" containsInteger="1" minValue="350" maxValue="27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10001"/>
    <s v="CUST0088"/>
    <x v="0"/>
    <x v="0"/>
    <s v="Vijayawada"/>
    <x v="0"/>
    <s v="Table Lamp"/>
    <n v="1"/>
    <n v="5500"/>
    <x v="0"/>
    <s v="Delivered"/>
    <n v="5500"/>
  </r>
  <r>
    <s v="ORD10002"/>
    <s v="CUST0161"/>
    <x v="1"/>
    <x v="0"/>
    <s v="Bengaluru"/>
    <x v="1"/>
    <s v="Monitor"/>
    <n v="4"/>
    <n v="47100"/>
    <x v="0"/>
    <s v="Returned"/>
    <n v="188400"/>
  </r>
  <r>
    <s v="ORD10003"/>
    <s v="CUST0190"/>
    <x v="2"/>
    <x v="0"/>
    <s v="Chennai"/>
    <x v="2"/>
    <s v="Backpack"/>
    <n v="1"/>
    <n v="5050"/>
    <x v="0"/>
    <s v="Delivered"/>
    <n v="5050"/>
  </r>
  <r>
    <s v="ORD10004"/>
    <s v="CUST0274"/>
    <x v="3"/>
    <x v="1"/>
    <s v="Chandigarh"/>
    <x v="2"/>
    <s v="Backpack"/>
    <n v="3"/>
    <n v="3950"/>
    <x v="1"/>
    <s v="Delivered"/>
    <n v="11850"/>
  </r>
  <r>
    <s v="ORD10005"/>
    <s v="CUST0264"/>
    <x v="4"/>
    <x v="1"/>
    <s v="Jaipur"/>
    <x v="3"/>
    <s v="Cricket Bat"/>
    <n v="2"/>
    <n v="1450"/>
    <x v="2"/>
    <s v="Delivered"/>
    <n v="2900"/>
  </r>
  <r>
    <s v="ORD10006"/>
    <s v="CUST0191"/>
    <x v="5"/>
    <x v="0"/>
    <s v="Vijayawada"/>
    <x v="3"/>
    <s v="Running Shoes"/>
    <n v="2"/>
    <n v="3450"/>
    <x v="2"/>
    <s v="Delivered"/>
    <n v="6900"/>
  </r>
  <r>
    <s v="ORD10007"/>
    <s v="CUST0190"/>
    <x v="6"/>
    <x v="2"/>
    <s v="Bhubaneswar"/>
    <x v="0"/>
    <s v="Air Fryer"/>
    <n v="1"/>
    <n v="6600"/>
    <x v="2"/>
    <s v="Delivered"/>
    <n v="6600"/>
  </r>
  <r>
    <s v="ORD10008"/>
    <s v="CUST0157"/>
    <x v="7"/>
    <x v="0"/>
    <s v="Hyderabad"/>
    <x v="3"/>
    <s v="Dumbbells"/>
    <n v="4"/>
    <n v="6050"/>
    <x v="1"/>
    <s v="Delivered"/>
    <n v="24200"/>
  </r>
  <r>
    <s v="ORD10009"/>
    <s v="CUST0392"/>
    <x v="8"/>
    <x v="2"/>
    <s v="Guwahati"/>
    <x v="1"/>
    <s v="Laptop"/>
    <n v="1"/>
    <n v="26100"/>
    <x v="0"/>
    <s v="Delivered"/>
    <n v="26100"/>
  </r>
  <r>
    <s v="ORD10010"/>
    <s v="CUST0033"/>
    <x v="9"/>
    <x v="0"/>
    <s v="Chennai"/>
    <x v="4"/>
    <s v="Moisturizer"/>
    <n v="4"/>
    <n v="3350"/>
    <x v="3"/>
    <s v="Delivered"/>
    <n v="13400"/>
  </r>
  <r>
    <s v="ORD10011"/>
    <s v="CUST0131"/>
    <x v="10"/>
    <x v="3"/>
    <s v="Surat"/>
    <x v="0"/>
    <s v="Table Lamp"/>
    <n v="2"/>
    <n v="2650"/>
    <x v="2"/>
    <s v="Returned"/>
    <n v="5300"/>
  </r>
  <r>
    <s v="ORD10012"/>
    <s v="CUST0241"/>
    <x v="11"/>
    <x v="1"/>
    <s v="Lucknow"/>
    <x v="4"/>
    <s v="Moisturizer"/>
    <n v="1"/>
    <n v="750"/>
    <x v="0"/>
    <s v="Cancelled"/>
    <n v="750"/>
  </r>
  <r>
    <s v="ORD10013"/>
    <s v="CUST0327"/>
    <x v="12"/>
    <x v="2"/>
    <s v="Patna"/>
    <x v="2"/>
    <s v="Backpack"/>
    <n v="2"/>
    <n v="5000"/>
    <x v="0"/>
    <s v="Cancelled"/>
    <n v="10000"/>
  </r>
  <r>
    <s v="ORD10014"/>
    <s v="CUST0340"/>
    <x v="13"/>
    <x v="2"/>
    <s v="Kolkata"/>
    <x v="2"/>
    <s v="Backpack"/>
    <n v="1"/>
    <n v="2650"/>
    <x v="2"/>
    <s v="Delivered"/>
    <n v="2650"/>
  </r>
  <r>
    <s v="ORD10015"/>
    <s v="CUST0116"/>
    <x v="14"/>
    <x v="0"/>
    <s v="Hyderabad"/>
    <x v="3"/>
    <s v="Cricket Bat"/>
    <n v="1"/>
    <n v="3500"/>
    <x v="0"/>
    <s v="Delivered"/>
    <n v="3500"/>
  </r>
  <r>
    <s v="ORD10016"/>
    <s v="CUST0160"/>
    <x v="15"/>
    <x v="1"/>
    <s v="Delhi"/>
    <x v="0"/>
    <s v="Water Bottle"/>
    <n v="1"/>
    <n v="6300"/>
    <x v="0"/>
    <s v="Delivered"/>
    <n v="6300"/>
  </r>
  <r>
    <s v="ORD10017"/>
    <s v="CUST0101"/>
    <x v="16"/>
    <x v="0"/>
    <s v="Hyderabad"/>
    <x v="2"/>
    <s v="Backpack"/>
    <n v="1"/>
    <n v="2350"/>
    <x v="1"/>
    <s v="Delivered"/>
    <n v="2350"/>
  </r>
  <r>
    <s v="ORD10018"/>
    <s v="CUST0126"/>
    <x v="17"/>
    <x v="3"/>
    <s v="Pune"/>
    <x v="3"/>
    <s v="Football"/>
    <n v="1"/>
    <n v="4400"/>
    <x v="0"/>
    <s v="Delivered"/>
    <n v="4400"/>
  </r>
  <r>
    <s v="ORD10019"/>
    <s v="CUST0294"/>
    <x v="18"/>
    <x v="2"/>
    <s v="Guwahati"/>
    <x v="2"/>
    <s v="Jeans"/>
    <n v="1"/>
    <n v="4900"/>
    <x v="2"/>
    <s v="Delivered"/>
    <n v="4900"/>
  </r>
  <r>
    <s v="ORD10020"/>
    <s v="CUST0349"/>
    <x v="19"/>
    <x v="3"/>
    <s v="Ahmedabad"/>
    <x v="0"/>
    <s v="Air Fryer"/>
    <n v="3"/>
    <n v="7400"/>
    <x v="0"/>
    <s v="Delivered"/>
    <n v="22200"/>
  </r>
  <r>
    <s v="ORD10021"/>
    <s v="CUST0417"/>
    <x v="20"/>
    <x v="0"/>
    <s v="Bengaluru"/>
    <x v="2"/>
    <s v="Sneakers"/>
    <n v="1"/>
    <n v="4300"/>
    <x v="1"/>
    <s v="Delivered"/>
    <n v="4300"/>
  </r>
  <r>
    <s v="ORD10022"/>
    <s v="CUST0252"/>
    <x v="21"/>
    <x v="3"/>
    <s v="Mumbai"/>
    <x v="2"/>
    <s v="T-Shirt"/>
    <n v="4"/>
    <n v="1250"/>
    <x v="3"/>
    <s v="Delivered"/>
    <n v="5000"/>
  </r>
  <r>
    <s v="ORD10023"/>
    <s v="CUST0009"/>
    <x v="14"/>
    <x v="1"/>
    <s v="Delhi"/>
    <x v="4"/>
    <s v="Face Wash"/>
    <n v="1"/>
    <n v="1350"/>
    <x v="3"/>
    <s v="Cancelled"/>
    <n v="1350"/>
  </r>
  <r>
    <s v="ORD10024"/>
    <s v="CUST0422"/>
    <x v="22"/>
    <x v="2"/>
    <s v="Bhubaneswar"/>
    <x v="0"/>
    <s v="Water Bottle"/>
    <n v="2"/>
    <n v="7050"/>
    <x v="0"/>
    <s v="Delivered"/>
    <n v="14100"/>
  </r>
  <r>
    <s v="ORD10025"/>
    <s v="CUST0310"/>
    <x v="8"/>
    <x v="0"/>
    <s v="Hyderabad"/>
    <x v="2"/>
    <s v="Sneakers"/>
    <n v="1"/>
    <n v="5450"/>
    <x v="0"/>
    <s v="Delivered"/>
    <n v="5450"/>
  </r>
  <r>
    <s v="ORD10026"/>
    <m/>
    <x v="23"/>
    <x v="0"/>
    <s v="Vijayawada"/>
    <x v="2"/>
    <s v="T-Shirt"/>
    <n v="1"/>
    <n v="2200"/>
    <x v="1"/>
    <s v="Delivered"/>
    <n v="2200"/>
  </r>
  <r>
    <s v="ORD10027"/>
    <s v="CUST0365"/>
    <x v="24"/>
    <x v="1"/>
    <s v="Lucknow"/>
    <x v="2"/>
    <s v="T-Shirt"/>
    <n v="1"/>
    <n v="3200"/>
    <x v="0"/>
    <s v="Returned"/>
    <n v="3200"/>
  </r>
  <r>
    <s v="ORD10028"/>
    <s v="CUST0317"/>
    <x v="25"/>
    <x v="1"/>
    <s v="Delhi"/>
    <x v="3"/>
    <s v="Football"/>
    <n v="2"/>
    <n v="5300"/>
    <x v="2"/>
    <s v="Delivered"/>
    <n v="10600"/>
  </r>
  <r>
    <s v="ORD10029"/>
    <s v="CUST0099"/>
    <x v="14"/>
    <x v="3"/>
    <s v="Surat"/>
    <x v="0"/>
    <s v="Water Bottle"/>
    <n v="4"/>
    <n v="1800"/>
    <x v="4"/>
    <s v="Cancelled"/>
    <n v="7200"/>
  </r>
  <r>
    <s v="ORD10030"/>
    <s v="CUST0416"/>
    <x v="26"/>
    <x v="1"/>
    <s v="Delhi"/>
    <x v="3"/>
    <s v="Dumbbells"/>
    <n v="5"/>
    <n v="5950"/>
    <x v="0"/>
    <s v="Delivered"/>
    <n v="29750"/>
  </r>
  <r>
    <s v="ORD10031"/>
    <s v="CUST0431"/>
    <x v="27"/>
    <x v="1"/>
    <s v="Lucknow"/>
    <x v="0"/>
    <s v="Air Fryer"/>
    <n v="4"/>
    <n v="7650"/>
    <x v="0"/>
    <s v="Delivered"/>
    <n v="30600"/>
  </r>
  <r>
    <s v="ORD10032"/>
    <s v="CUST0170"/>
    <x v="28"/>
    <x v="0"/>
    <s v="Bengaluru"/>
    <x v="0"/>
    <s v="Water Bottle"/>
    <n v="2"/>
    <n v="6750"/>
    <x v="1"/>
    <s v="Delivered"/>
    <n v="13500"/>
  </r>
  <r>
    <s v="ORD10033"/>
    <s v="CUST0264"/>
    <x v="29"/>
    <x v="2"/>
    <s v="Kolkata"/>
    <x v="0"/>
    <s v="Air Fryer"/>
    <n v="1"/>
    <n v="950"/>
    <x v="1"/>
    <s v="Delivered"/>
    <n v="950"/>
  </r>
  <r>
    <s v="ORD10034"/>
    <s v="CUST0125"/>
    <x v="30"/>
    <x v="1"/>
    <s v="Chandigarh"/>
    <x v="3"/>
    <s v="Running Shoes"/>
    <n v="1"/>
    <n v="6000"/>
    <x v="2"/>
    <s v="Delivered"/>
    <n v="6000"/>
  </r>
  <r>
    <s v="ORD10035"/>
    <s v="CUST0060"/>
    <x v="31"/>
    <x v="0"/>
    <s v="Bengaluru"/>
    <x v="2"/>
    <s v="T-Shirt"/>
    <n v="2"/>
    <n v="2700"/>
    <x v="0"/>
    <s v="Shipped"/>
    <n v="5400"/>
  </r>
  <r>
    <s v="ORD10036"/>
    <s v="CUST0269"/>
    <x v="32"/>
    <x v="2"/>
    <s v="Guwahati"/>
    <x v="2"/>
    <s v="Backpack"/>
    <n v="2"/>
    <n v="4450"/>
    <x v="1"/>
    <s v="Delivered"/>
    <n v="8900"/>
  </r>
  <r>
    <s v="ORD10037"/>
    <s v="CUST0318"/>
    <x v="33"/>
    <x v="3"/>
    <s v="Ahmedabad"/>
    <x v="4"/>
    <s v="Moisturizer"/>
    <n v="2"/>
    <n v="2300"/>
    <x v="0"/>
    <s v="Delivered"/>
    <n v="4600"/>
  </r>
  <r>
    <s v="ORD10038"/>
    <s v="CUST0089"/>
    <x v="34"/>
    <x v="1"/>
    <s v="Jaipur"/>
    <x v="0"/>
    <s v="Cookware Set"/>
    <n v="1"/>
    <n v="8250"/>
    <x v="0"/>
    <s v="Delivered"/>
    <n v="8250"/>
  </r>
  <r>
    <s v="ORD10039"/>
    <s v="CUST0435"/>
    <x v="35"/>
    <x v="3"/>
    <s v="Ahmedabad"/>
    <x v="1"/>
    <s v="Headphones"/>
    <n v="2"/>
    <n v="28700"/>
    <x v="0"/>
    <s v="Delivered"/>
    <n v="57400"/>
  </r>
  <r>
    <s v="ORD10040"/>
    <s v="CUST0432"/>
    <x v="36"/>
    <x v="0"/>
    <s v="Hyderabad"/>
    <x v="1"/>
    <s v="Keyboard"/>
    <n v="5"/>
    <n v="20700"/>
    <x v="0"/>
    <s v="Delivered"/>
    <n v="103500"/>
  </r>
  <r>
    <s v="ORD10041"/>
    <s v="CUST0223"/>
    <x v="37"/>
    <x v="1"/>
    <s v="Delhi"/>
    <x v="0"/>
    <s v="Mixer Grinder"/>
    <n v="2"/>
    <n v="3750"/>
    <x v="1"/>
    <s v="Delivered"/>
    <n v="7500"/>
  </r>
  <r>
    <s v="ORD10042"/>
    <s v="CUST0384"/>
    <x v="38"/>
    <x v="1"/>
    <s v="Delhi"/>
    <x v="3"/>
    <s v="Yoga Mat"/>
    <n v="1"/>
    <n v="2050"/>
    <x v="1"/>
    <s v="Delivered"/>
    <n v="2050"/>
  </r>
  <r>
    <s v="ORD10043"/>
    <s v="CUST0065"/>
    <x v="39"/>
    <x v="1"/>
    <s v="Chandigarh"/>
    <x v="3"/>
    <s v="Running Shoes"/>
    <n v="3"/>
    <n v="1700"/>
    <x v="3"/>
    <s v="Delivered"/>
    <n v="5100"/>
  </r>
  <r>
    <s v="ORD10044"/>
    <s v="CUST0337"/>
    <x v="40"/>
    <x v="0"/>
    <s v="Vijayawada"/>
    <x v="3"/>
    <s v="Running Shoes"/>
    <n v="1"/>
    <n v="1450"/>
    <x v="0"/>
    <s v="Delivered"/>
    <n v="1450"/>
  </r>
  <r>
    <s v="ORD10045"/>
    <s v="CUST0075"/>
    <x v="41"/>
    <x v="3"/>
    <s v="Pune"/>
    <x v="0"/>
    <s v="Air Fryer"/>
    <n v="1"/>
    <n v="7400"/>
    <x v="0"/>
    <s v="Delivered"/>
    <n v="7400"/>
  </r>
  <r>
    <s v="ORD10046"/>
    <s v="CUST0096"/>
    <x v="42"/>
    <x v="1"/>
    <s v="Delhi"/>
    <x v="4"/>
    <s v="Face Wash"/>
    <n v="3"/>
    <n v="3800"/>
    <x v="4"/>
    <s v="Delivered"/>
    <n v="11400"/>
  </r>
  <r>
    <s v="ORD10047"/>
    <s v="CUST0062"/>
    <x v="43"/>
    <x v="0"/>
    <s v="Chennai"/>
    <x v="3"/>
    <s v="Dumbbells"/>
    <n v="2"/>
    <n v="7650"/>
    <x v="0"/>
    <s v="Cancelled"/>
    <n v="15300"/>
  </r>
  <r>
    <s v="ORD10048"/>
    <s v="CUST0284"/>
    <x v="44"/>
    <x v="2"/>
    <s v="Kolkata"/>
    <x v="3"/>
    <s v="Dumbbells"/>
    <n v="4"/>
    <n v="1000"/>
    <x v="3"/>
    <s v="Delivered"/>
    <n v="4000"/>
  </r>
  <r>
    <s v="ORD10049"/>
    <s v="CUST0053"/>
    <x v="45"/>
    <x v="1"/>
    <s v="Lucknow"/>
    <x v="2"/>
    <s v="Backpack"/>
    <n v="1"/>
    <n v="1050"/>
    <x v="1"/>
    <s v="Delivered"/>
    <n v="1050"/>
  </r>
  <r>
    <s v="ORD10050"/>
    <s v="CUST0235"/>
    <x v="46"/>
    <x v="2"/>
    <s v="Bhubaneswar"/>
    <x v="4"/>
    <s v="Hair Dryer"/>
    <n v="2"/>
    <n v="500"/>
    <x v="2"/>
    <s v="Cancelled"/>
    <n v="1000"/>
  </r>
  <r>
    <s v="ORD10051"/>
    <s v="CUST0170"/>
    <x v="47"/>
    <x v="3"/>
    <s v="Pune"/>
    <x v="1"/>
    <s v="Keyboard"/>
    <n v="1"/>
    <n v="40450"/>
    <x v="0"/>
    <s v="Delivered"/>
    <n v="40450"/>
  </r>
  <r>
    <s v="ORD10052"/>
    <s v="CUST0327"/>
    <x v="41"/>
    <x v="1"/>
    <s v="Jaipur"/>
    <x v="4"/>
    <s v="Hair Dryer"/>
    <n v="1"/>
    <n v="4950"/>
    <x v="2"/>
    <s v="Shipped"/>
    <n v="4950"/>
  </r>
  <r>
    <s v="ORD10053"/>
    <s v="CUST0019"/>
    <x v="48"/>
    <x v="0"/>
    <s v="Chennai"/>
    <x v="2"/>
    <s v="Backpack"/>
    <n v="1"/>
    <n v="4050"/>
    <x v="1"/>
    <s v="Delivered"/>
    <n v="4050"/>
  </r>
  <r>
    <s v="ORD10054"/>
    <s v="CUST0423"/>
    <x v="49"/>
    <x v="0"/>
    <s v="Vijayawada"/>
    <x v="0"/>
    <s v="Table Lamp"/>
    <n v="2"/>
    <n v="5250"/>
    <x v="1"/>
    <s v="Shipped"/>
    <n v="10500"/>
  </r>
  <r>
    <s v="ORD10055"/>
    <s v="CUST0058"/>
    <x v="50"/>
    <x v="2"/>
    <s v="Patna"/>
    <x v="2"/>
    <s v="Backpack"/>
    <n v="1"/>
    <n v="4050"/>
    <x v="2"/>
    <s v="Delivered"/>
    <n v="4050"/>
  </r>
  <r>
    <s v="ORD10056"/>
    <s v="CUST0147"/>
    <x v="51"/>
    <x v="0"/>
    <s v="Hyderabad"/>
    <x v="3"/>
    <s v="Dumbbells"/>
    <n v="4"/>
    <n v="900"/>
    <x v="3"/>
    <s v="Delivered"/>
    <n v="3600"/>
  </r>
  <r>
    <s v="ORD10057"/>
    <s v="CUST0441"/>
    <x v="52"/>
    <x v="0"/>
    <s v="Chennai"/>
    <x v="1"/>
    <s v="Laptop"/>
    <n v="2"/>
    <n v="29950"/>
    <x v="2"/>
    <s v="Cancelled"/>
    <n v="59900"/>
  </r>
  <r>
    <s v="ORD10058"/>
    <s v="CUST0178"/>
    <x v="53"/>
    <x v="0"/>
    <s v="Hyderabad"/>
    <x v="3"/>
    <s v="Running Shoes"/>
    <n v="1"/>
    <n v="3150"/>
    <x v="2"/>
    <s v="Delivered"/>
    <n v="3150"/>
  </r>
  <r>
    <s v="ORD10059"/>
    <s v="CUST0220"/>
    <x v="54"/>
    <x v="0"/>
    <s v="Chennai"/>
    <x v="1"/>
    <s v="Laptop"/>
    <n v="2"/>
    <n v="45600"/>
    <x v="0"/>
    <s v="Shipped"/>
    <n v="91200"/>
  </r>
  <r>
    <s v="ORD10060"/>
    <s v="CUST0286"/>
    <x v="55"/>
    <x v="2"/>
    <s v="Bhubaneswar"/>
    <x v="1"/>
    <s v="Monitor"/>
    <n v="2"/>
    <n v="27500"/>
    <x v="3"/>
    <s v="Delivered"/>
    <n v="55000"/>
  </r>
  <r>
    <s v="ORD10061"/>
    <s v="CUST0282"/>
    <x v="56"/>
    <x v="0"/>
    <s v="Hyderabad"/>
    <x v="2"/>
    <s v="Watch"/>
    <n v="2"/>
    <n v="6300"/>
    <x v="4"/>
    <s v="Delivered"/>
    <n v="12600"/>
  </r>
  <r>
    <s v="ORD10062"/>
    <s v="CUST0311"/>
    <x v="57"/>
    <x v="2"/>
    <s v="Kolkata"/>
    <x v="0"/>
    <s v="Water Bottle"/>
    <n v="1"/>
    <n v="800"/>
    <x v="0"/>
    <s v="Delivered"/>
    <n v="800"/>
  </r>
  <r>
    <s v="ORD10063"/>
    <s v="CUST0083"/>
    <x v="58"/>
    <x v="2"/>
    <s v="Bhubaneswar"/>
    <x v="2"/>
    <s v="Watch"/>
    <n v="2"/>
    <n v="7350"/>
    <x v="1"/>
    <s v="Delivered"/>
    <n v="14700"/>
  </r>
  <r>
    <s v="ORD10064"/>
    <s v="CUST0034"/>
    <x v="59"/>
    <x v="0"/>
    <s v="Chennai"/>
    <x v="1"/>
    <s v="Laptop"/>
    <n v="1"/>
    <n v="18350"/>
    <x v="3"/>
    <s v="Delivered"/>
    <n v="18350"/>
  </r>
  <r>
    <s v="ORD10065"/>
    <s v="CUST0389"/>
    <x v="60"/>
    <x v="1"/>
    <s v="Jaipur"/>
    <x v="1"/>
    <s v="Smartphone"/>
    <n v="2"/>
    <n v="50350"/>
    <x v="3"/>
    <s v="Delivered"/>
    <n v="100700"/>
  </r>
  <r>
    <s v="ORD10066"/>
    <s v="CUST0103"/>
    <x v="61"/>
    <x v="0"/>
    <s v="Chennai"/>
    <x v="4"/>
    <s v="Face Wash"/>
    <n v="3"/>
    <n v="2200"/>
    <x v="1"/>
    <s v="Shipped"/>
    <n v="6600"/>
  </r>
  <r>
    <s v="ORD10067"/>
    <s v="CUST0335"/>
    <x v="62"/>
    <x v="3"/>
    <s v="Pune"/>
    <x v="1"/>
    <s v="Smartphone"/>
    <n v="1"/>
    <n v="36350"/>
    <x v="1"/>
    <s v="Delivered"/>
    <n v="36350"/>
  </r>
  <r>
    <s v="ORD10068"/>
    <s v="CUST0069"/>
    <x v="63"/>
    <x v="3"/>
    <s v="Mumbai"/>
    <x v="2"/>
    <s v="Sneakers"/>
    <n v="4"/>
    <n v="1500"/>
    <x v="2"/>
    <s v="Delivered"/>
    <n v="6000"/>
  </r>
  <r>
    <s v="ORD10069"/>
    <s v="CUST0336"/>
    <x v="64"/>
    <x v="0"/>
    <s v="Chennai"/>
    <x v="2"/>
    <s v="Jeans"/>
    <n v="1"/>
    <n v="4800"/>
    <x v="2"/>
    <s v="Delivered"/>
    <n v="4800"/>
  </r>
  <r>
    <s v="ORD10070"/>
    <s v="CUST0061"/>
    <x v="65"/>
    <x v="0"/>
    <s v="Vijayawada"/>
    <x v="0"/>
    <s v="Cookware Set"/>
    <n v="3"/>
    <n v="3850"/>
    <x v="2"/>
    <s v="Returned"/>
    <n v="11550"/>
  </r>
  <r>
    <s v="ORD10071"/>
    <s v="CUST0012"/>
    <x v="66"/>
    <x v="0"/>
    <s v="Vijayawada"/>
    <x v="1"/>
    <s v="Headphones"/>
    <n v="1"/>
    <n v="23050"/>
    <x v="2"/>
    <s v="Delivered"/>
    <n v="23050"/>
  </r>
  <r>
    <s v="ORD10072"/>
    <s v="CUST0056"/>
    <x v="67"/>
    <x v="1"/>
    <s v="Delhi"/>
    <x v="3"/>
    <s v="Yoga Mat"/>
    <n v="1"/>
    <n v="3550"/>
    <x v="2"/>
    <s v="Delivered"/>
    <n v="3550"/>
  </r>
  <r>
    <s v="ORD10073"/>
    <s v="CUST0127"/>
    <x v="68"/>
    <x v="0"/>
    <s v="Vijayawada"/>
    <x v="1"/>
    <s v="Headphones"/>
    <n v="2"/>
    <n v="52550"/>
    <x v="0"/>
    <s v="Delivered"/>
    <n v="105100"/>
  </r>
  <r>
    <s v="ORD10074"/>
    <s v="CUST0007"/>
    <x v="69"/>
    <x v="3"/>
    <s v="Pune"/>
    <x v="0"/>
    <s v="Air Fryer"/>
    <n v="2"/>
    <n v="4300"/>
    <x v="0"/>
    <s v="Delivered"/>
    <n v="8600"/>
  </r>
  <r>
    <s v="ORD10075"/>
    <s v="CUST0119"/>
    <x v="53"/>
    <x v="1"/>
    <s v="Delhi"/>
    <x v="3"/>
    <s v="Football"/>
    <n v="1"/>
    <n v="8750"/>
    <x v="2"/>
    <s v="Delivered"/>
    <n v="8750"/>
  </r>
  <r>
    <s v="ORD10076"/>
    <s v="CUST0068"/>
    <x v="70"/>
    <x v="2"/>
    <s v="Bhubaneswar"/>
    <x v="1"/>
    <s v="Laptop"/>
    <n v="1"/>
    <n v="21750"/>
    <x v="3"/>
    <s v="Delivered"/>
    <n v="21750"/>
  </r>
  <r>
    <s v="ORD10077"/>
    <s v="CUST0042"/>
    <x v="71"/>
    <x v="0"/>
    <s v="Chennai"/>
    <x v="2"/>
    <s v="Jeans"/>
    <n v="2"/>
    <n v="6000"/>
    <x v="2"/>
    <s v="Delivered"/>
    <n v="12000"/>
  </r>
  <r>
    <s v="ORD10078"/>
    <s v="CUST0150"/>
    <x v="72"/>
    <x v="3"/>
    <s v="Ahmedabad"/>
    <x v="0"/>
    <s v="Air Fryer"/>
    <n v="5"/>
    <n v="3350"/>
    <x v="1"/>
    <s v="Delivered"/>
    <n v="16750"/>
  </r>
  <r>
    <s v="ORD10079"/>
    <s v="CUST0243"/>
    <x v="73"/>
    <x v="2"/>
    <s v="Bhubaneswar"/>
    <x v="1"/>
    <s v="Keyboard"/>
    <n v="1"/>
    <n v="19050"/>
    <x v="3"/>
    <s v="Delivered"/>
    <n v="19050"/>
  </r>
  <r>
    <s v="ORD10080"/>
    <s v="CUST0369"/>
    <x v="74"/>
    <x v="2"/>
    <s v="Bhubaneswar"/>
    <x v="0"/>
    <s v="Cookware Set"/>
    <n v="4"/>
    <n v="3750"/>
    <x v="3"/>
    <s v="Shipped"/>
    <n v="15000"/>
  </r>
  <r>
    <s v="ORD10081"/>
    <s v="CUST0326"/>
    <x v="75"/>
    <x v="2"/>
    <s v="Bhubaneswar"/>
    <x v="1"/>
    <s v="Monitor"/>
    <n v="2"/>
    <n v="36500"/>
    <x v="0"/>
    <s v="Delivered"/>
    <n v="73000"/>
  </r>
  <r>
    <s v="ORD10082"/>
    <s v="CUST0382"/>
    <x v="76"/>
    <x v="1"/>
    <s v="Delhi"/>
    <x v="4"/>
    <s v="Perfume"/>
    <n v="2"/>
    <n v="2750"/>
    <x v="1"/>
    <s v="Delivered"/>
    <n v="5500"/>
  </r>
  <r>
    <s v="ORD10083"/>
    <s v="CUST0386"/>
    <x v="77"/>
    <x v="1"/>
    <s v="Delhi"/>
    <x v="3"/>
    <s v="Dumbbells"/>
    <n v="1"/>
    <n v="4000"/>
    <x v="2"/>
    <s v="Delivered"/>
    <n v="4000"/>
  </r>
  <r>
    <s v="ORD10084"/>
    <s v="CUST0419"/>
    <x v="74"/>
    <x v="0"/>
    <s v="Hyderabad"/>
    <x v="2"/>
    <s v="Backpack"/>
    <n v="1"/>
    <n v="400"/>
    <x v="2"/>
    <s v="Delivered"/>
    <n v="400"/>
  </r>
  <r>
    <s v="ORD10085"/>
    <s v="CUST0035"/>
    <x v="49"/>
    <x v="2"/>
    <s v="Guwahati"/>
    <x v="1"/>
    <s v="Headphones"/>
    <n v="4"/>
    <n v="26950"/>
    <x v="4"/>
    <s v="Delivered"/>
    <n v="107800"/>
  </r>
  <r>
    <s v="ORD10086"/>
    <s v="CUST0165"/>
    <x v="78"/>
    <x v="2"/>
    <s v="Guwahati"/>
    <x v="4"/>
    <s v="Perfume"/>
    <n v="2"/>
    <n v="4150"/>
    <x v="1"/>
    <s v="Shipped"/>
    <n v="8300"/>
  </r>
  <r>
    <s v="ORD10087"/>
    <s v="CUST0014"/>
    <x v="79"/>
    <x v="2"/>
    <s v="Kolkata"/>
    <x v="1"/>
    <s v="Smartphone"/>
    <n v="1"/>
    <n v="57100"/>
    <x v="3"/>
    <s v="Delivered"/>
    <n v="57100"/>
  </r>
  <r>
    <s v="ORD10087"/>
    <s v="CUST0309"/>
    <x v="22"/>
    <x v="3"/>
    <s v="Ahmedabad"/>
    <x v="0"/>
    <s v="Mixer Grinder"/>
    <n v="1"/>
    <n v="5300"/>
    <x v="2"/>
    <s v="Delivered"/>
    <n v="5300"/>
  </r>
  <r>
    <s v="ORD10089"/>
    <s v="CUST0157"/>
    <x v="80"/>
    <x v="1"/>
    <s v="Lucknow"/>
    <x v="1"/>
    <s v="Monitor"/>
    <n v="1"/>
    <n v="41050"/>
    <x v="0"/>
    <s v="Shipped"/>
    <n v="41050"/>
  </r>
  <r>
    <s v="ORD10090"/>
    <s v="CUST0196"/>
    <x v="35"/>
    <x v="3"/>
    <s v="Pune"/>
    <x v="2"/>
    <s v="Sneakers"/>
    <n v="2"/>
    <n v="6100"/>
    <x v="1"/>
    <s v="Delivered"/>
    <n v="12200"/>
  </r>
  <r>
    <s v="ORD10091"/>
    <s v="CUST0436"/>
    <x v="81"/>
    <x v="2"/>
    <s v="Kolkata"/>
    <x v="4"/>
    <s v="Hair Dryer"/>
    <n v="2"/>
    <n v="700"/>
    <x v="2"/>
    <s v="Delivered"/>
    <n v="1400"/>
  </r>
  <r>
    <s v="ORD10092"/>
    <s v="CUST0292"/>
    <x v="82"/>
    <x v="1"/>
    <s v="Chandigarh"/>
    <x v="2"/>
    <s v="Watch"/>
    <n v="2"/>
    <n v="5900"/>
    <x v="1"/>
    <s v="Delivered"/>
    <n v="11800"/>
  </r>
  <r>
    <s v="ORD10093"/>
    <s v="CUST0302"/>
    <x v="83"/>
    <x v="2"/>
    <s v="Bhubaneswar"/>
    <x v="1"/>
    <s v="Headphones"/>
    <n v="2"/>
    <n v="59100"/>
    <x v="2"/>
    <s v="Delivered"/>
    <n v="118200"/>
  </r>
  <r>
    <s v="ORD10094"/>
    <s v="CUST0356"/>
    <x v="84"/>
    <x v="0"/>
    <s v="Bengaluru"/>
    <x v="1"/>
    <s v="Headphones"/>
    <n v="1"/>
    <n v="40000"/>
    <x v="3"/>
    <s v="Cancelled"/>
    <n v="40000"/>
  </r>
  <r>
    <s v="ORD10095"/>
    <s v="CUST0296"/>
    <x v="85"/>
    <x v="3"/>
    <s v="Pune"/>
    <x v="4"/>
    <s v="Hair Dryer"/>
    <n v="1"/>
    <n v="3900"/>
    <x v="0"/>
    <s v="Delivered"/>
    <n v="3900"/>
  </r>
  <r>
    <s v="ORD10096"/>
    <s v="CUST0438"/>
    <x v="86"/>
    <x v="0"/>
    <s v="Hyderabad"/>
    <x v="3"/>
    <s v="Yoga Mat"/>
    <n v="1"/>
    <n v="2050"/>
    <x v="3"/>
    <s v="Delivered"/>
    <n v="2050"/>
  </r>
  <r>
    <s v="ORD10097"/>
    <s v="CUST0063"/>
    <x v="87"/>
    <x v="0"/>
    <s v="Hyderabad"/>
    <x v="1"/>
    <s v="Headphones"/>
    <n v="3"/>
    <n v="22250"/>
    <x v="0"/>
    <s v="Delivered"/>
    <n v="66750"/>
  </r>
  <r>
    <s v="ORD10098"/>
    <s v="CUST0364"/>
    <x v="88"/>
    <x v="2"/>
    <s v="Patna"/>
    <x v="2"/>
    <s v="Sneakers"/>
    <n v="2"/>
    <n v="3050"/>
    <x v="2"/>
    <s v="Delivered"/>
    <n v="6100"/>
  </r>
  <r>
    <s v="ORD10099"/>
    <s v="CUST0154"/>
    <x v="89"/>
    <x v="1"/>
    <s v="Jaipur"/>
    <x v="1"/>
    <s v="Laptop"/>
    <n v="1"/>
    <n v="2900"/>
    <x v="1"/>
    <s v="Delivered"/>
    <n v="2900"/>
  </r>
  <r>
    <s v="ORD10100"/>
    <s v="CUST0360"/>
    <x v="90"/>
    <x v="0"/>
    <s v="Vijayawada"/>
    <x v="1"/>
    <s v="Laptop"/>
    <n v="2"/>
    <n v="30200"/>
    <x v="3"/>
    <s v="Delivered"/>
    <n v="60400"/>
  </r>
  <r>
    <s v="ORD10101"/>
    <s v="CUST0429"/>
    <x v="13"/>
    <x v="1"/>
    <s v="Lucknow"/>
    <x v="0"/>
    <s v="Table Lamp"/>
    <n v="3"/>
    <n v="2100"/>
    <x v="0"/>
    <s v="Delivered"/>
    <n v="6300"/>
  </r>
  <r>
    <s v="ORD10102"/>
    <s v="CUST0222"/>
    <x v="91"/>
    <x v="0"/>
    <s v="Bengaluru"/>
    <x v="3"/>
    <s v="Football"/>
    <n v="2"/>
    <n v="7300"/>
    <x v="2"/>
    <s v="Delivered"/>
    <n v="14600"/>
  </r>
  <r>
    <s v="ORD10103"/>
    <s v="CUST0162"/>
    <x v="92"/>
    <x v="0"/>
    <s v="Hyderabad"/>
    <x v="4"/>
    <s v="Perfume"/>
    <n v="2"/>
    <n v="550"/>
    <x v="0"/>
    <s v="Cancelled"/>
    <n v="1100"/>
  </r>
  <r>
    <s v="ORD10104"/>
    <s v="CUST0328"/>
    <x v="93"/>
    <x v="2"/>
    <s v="Guwahati"/>
    <x v="3"/>
    <s v="Cricket Bat"/>
    <n v="1"/>
    <n v="750"/>
    <x v="0"/>
    <s v="Delivered"/>
    <n v="750"/>
  </r>
  <r>
    <s v="ORD10105"/>
    <s v="CUST0288"/>
    <x v="94"/>
    <x v="0"/>
    <s v="Hyderabad"/>
    <x v="0"/>
    <s v="Table Lamp"/>
    <n v="2"/>
    <n v="5100"/>
    <x v="3"/>
    <s v="Returned"/>
    <n v="10200"/>
  </r>
  <r>
    <s v="ORD10106"/>
    <s v="CUST0263"/>
    <x v="26"/>
    <x v="2"/>
    <s v="Bhubaneswar"/>
    <x v="4"/>
    <s v="Perfume"/>
    <n v="1"/>
    <n v="1200"/>
    <x v="3"/>
    <s v="Delivered"/>
    <n v="1200"/>
  </r>
  <r>
    <s v="ORD10107"/>
    <s v="CUST0404"/>
    <x v="95"/>
    <x v="0"/>
    <s v="Chennai"/>
    <x v="1"/>
    <s v="Monitor"/>
    <n v="1"/>
    <n v="38200"/>
    <x v="3"/>
    <s v="Shipped"/>
    <n v="38200"/>
  </r>
  <r>
    <s v="ORD10108"/>
    <s v="CUST0226"/>
    <x v="96"/>
    <x v="0"/>
    <s v="Chennai"/>
    <x v="1"/>
    <s v="Smartphone"/>
    <n v="2"/>
    <n v="17950"/>
    <x v="2"/>
    <s v="Delivered"/>
    <n v="35900"/>
  </r>
  <r>
    <s v="ORD10109"/>
    <s v="CUST0128"/>
    <x v="97"/>
    <x v="2"/>
    <s v="Guwahati"/>
    <x v="0"/>
    <s v="Cookware Set"/>
    <n v="3"/>
    <n v="1500"/>
    <x v="2"/>
    <s v="Cancelled"/>
    <n v="4500"/>
  </r>
  <r>
    <s v="ORD10110"/>
    <s v="CUST0235"/>
    <x v="98"/>
    <x v="1"/>
    <s v="Delhi"/>
    <x v="0"/>
    <s v="Water Bottle"/>
    <n v="2"/>
    <n v="5000"/>
    <x v="0"/>
    <s v="Delivered"/>
    <n v="10000"/>
  </r>
  <r>
    <s v="ORD10111"/>
    <s v="CUST0041"/>
    <x v="63"/>
    <x v="0"/>
    <s v="Chennai"/>
    <x v="1"/>
    <s v="Headphones"/>
    <n v="3"/>
    <n v="44650"/>
    <x v="2"/>
    <s v="Shipped"/>
    <n v="133950"/>
  </r>
  <r>
    <s v="ORD10112"/>
    <s v="CUST0134"/>
    <x v="99"/>
    <x v="1"/>
    <s v="Chandigarh"/>
    <x v="2"/>
    <s v="T-Shirt"/>
    <n v="1"/>
    <n v="1950"/>
    <x v="0"/>
    <s v="Cancelled"/>
    <n v="1950"/>
  </r>
  <r>
    <s v="ORD10113"/>
    <s v="CUST0122"/>
    <x v="100"/>
    <x v="3"/>
    <s v="Mumbai"/>
    <x v="2"/>
    <s v="Backpack"/>
    <n v="4"/>
    <n v="1750"/>
    <x v="2"/>
    <s v="Delivered"/>
    <n v="7000"/>
  </r>
  <r>
    <s v="ORD10114"/>
    <s v="CUST0296"/>
    <x v="95"/>
    <x v="2"/>
    <s v="Kolkata"/>
    <x v="1"/>
    <s v="Keyboard"/>
    <n v="2"/>
    <n v="6000"/>
    <x v="0"/>
    <s v="Delivered"/>
    <n v="12000"/>
  </r>
  <r>
    <s v="ORD10115"/>
    <s v="CUST0069"/>
    <x v="101"/>
    <x v="3"/>
    <s v="Surat"/>
    <x v="0"/>
    <s v="Mixer Grinder"/>
    <n v="1"/>
    <n v="5200"/>
    <x v="1"/>
    <s v="Cancelled"/>
    <n v="5200"/>
  </r>
  <r>
    <s v="ORD10116"/>
    <s v="CUST0201"/>
    <x v="102"/>
    <x v="1"/>
    <s v="Lucknow"/>
    <x v="1"/>
    <s v="Keyboard"/>
    <n v="1"/>
    <n v="38950"/>
    <x v="2"/>
    <s v="Delivered"/>
    <n v="38950"/>
  </r>
  <r>
    <s v="ORD10117"/>
    <s v="CUST0291"/>
    <x v="103"/>
    <x v="0"/>
    <s v="Hyderabad"/>
    <x v="0"/>
    <s v="Mixer Grinder"/>
    <n v="2"/>
    <n v="3850"/>
    <x v="2"/>
    <s v="Delivered"/>
    <n v="7700"/>
  </r>
  <r>
    <s v="ORD10118"/>
    <s v="CUST0305"/>
    <x v="104"/>
    <x v="3"/>
    <s v="Pune"/>
    <x v="1"/>
    <s v="Keyboard"/>
    <n v="1"/>
    <n v="1050"/>
    <x v="0"/>
    <s v="Shipped"/>
    <n v="1050"/>
  </r>
  <r>
    <s v="ORD10119"/>
    <s v="CUST0374"/>
    <x v="105"/>
    <x v="0"/>
    <s v="Bengaluru"/>
    <x v="3"/>
    <s v="Yoga Mat"/>
    <n v="2"/>
    <n v="9600"/>
    <x v="1"/>
    <s v="Delivered"/>
    <n v="19200"/>
  </r>
  <r>
    <s v="ORD10120"/>
    <s v="CUST0016"/>
    <x v="106"/>
    <x v="1"/>
    <s v="Lucknow"/>
    <x v="3"/>
    <s v="Cricket Bat"/>
    <n v="1"/>
    <n v="7100"/>
    <x v="1"/>
    <s v="Delivered"/>
    <n v="7100"/>
  </r>
  <r>
    <s v="ORD10121"/>
    <s v="CUST0328"/>
    <x v="107"/>
    <x v="1"/>
    <s v="Jaipur"/>
    <x v="3"/>
    <s v="Cricket Bat"/>
    <n v="1"/>
    <n v="3450"/>
    <x v="1"/>
    <s v="Delivered"/>
    <n v="3450"/>
  </r>
  <r>
    <s v="ORD10122"/>
    <s v="CUST0159"/>
    <x v="42"/>
    <x v="3"/>
    <s v="Surat"/>
    <x v="3"/>
    <s v="Cricket Bat"/>
    <n v="1"/>
    <n v="8500"/>
    <x v="3"/>
    <s v="Delivered"/>
    <n v="8500"/>
  </r>
  <r>
    <s v="ORD10123"/>
    <s v="CUST0015"/>
    <x v="98"/>
    <x v="1"/>
    <s v="Visakhapatnam"/>
    <x v="1"/>
    <s v="Keyboard"/>
    <n v="1"/>
    <n v="45450"/>
    <x v="1"/>
    <s v="Delivered"/>
    <n v="45450"/>
  </r>
  <r>
    <s v="ORD10123"/>
    <s v="CUST0170"/>
    <x v="63"/>
    <x v="3"/>
    <s v="Mumbai"/>
    <x v="4"/>
    <s v="Face Wash"/>
    <n v="2"/>
    <n v="4450"/>
    <x v="0"/>
    <s v="Delivered"/>
    <n v="8900"/>
  </r>
  <r>
    <s v="ORD10125"/>
    <s v="CUST0318"/>
    <x v="108"/>
    <x v="1"/>
    <s v="Chandigarh"/>
    <x v="1"/>
    <s v="Headphones"/>
    <n v="1"/>
    <n v="60650"/>
    <x v="0"/>
    <s v="Delivered"/>
    <n v="60650"/>
  </r>
  <r>
    <s v="ORD10125"/>
    <s v="CUST0177"/>
    <x v="69"/>
    <x v="2"/>
    <s v="Bhubaneswar"/>
    <x v="0"/>
    <s v="Cookware Set"/>
    <n v="1"/>
    <n v="1050"/>
    <x v="2"/>
    <s v="Delivered"/>
    <n v="1050"/>
  </r>
  <r>
    <s v="ORD10127"/>
    <s v="CUST0399"/>
    <x v="109"/>
    <x v="0"/>
    <s v="Bengaluru"/>
    <x v="0"/>
    <s v="Air Fryer"/>
    <n v="1"/>
    <n v="5400"/>
    <x v="3"/>
    <s v="Delivered"/>
    <n v="5400"/>
  </r>
  <r>
    <s v="ORD10128"/>
    <s v="CUST0319"/>
    <x v="110"/>
    <x v="0"/>
    <s v="Bengaluru"/>
    <x v="0"/>
    <s v="Cookware Set"/>
    <n v="1"/>
    <n v="7250"/>
    <x v="2"/>
    <s v="Returned"/>
    <n v="7250"/>
  </r>
  <r>
    <s v="ORD10129"/>
    <s v="CUST0373"/>
    <x v="111"/>
    <x v="2"/>
    <s v="Patna"/>
    <x v="2"/>
    <s v="Watch"/>
    <n v="1"/>
    <n v="7950"/>
    <x v="4"/>
    <s v="Delivered"/>
    <n v="7950"/>
  </r>
  <r>
    <s v="ORD10130"/>
    <s v="CUST0261"/>
    <x v="93"/>
    <x v="0"/>
    <s v="Hyderabad"/>
    <x v="2"/>
    <s v="Jeans"/>
    <n v="1"/>
    <n v="2100"/>
    <x v="1"/>
    <s v="Delivered"/>
    <n v="2100"/>
  </r>
  <r>
    <s v="ORD10131"/>
    <s v="CUST0062"/>
    <x v="58"/>
    <x v="1"/>
    <s v="Chandigarh"/>
    <x v="3"/>
    <s v="Yoga Mat"/>
    <n v="1"/>
    <n v="9950"/>
    <x v="2"/>
    <s v="Delivered"/>
    <n v="9950"/>
  </r>
  <r>
    <s v="ORD10132"/>
    <s v="CUST0267"/>
    <x v="112"/>
    <x v="0"/>
    <s v="Vijayawada"/>
    <x v="1"/>
    <s v="Monitor"/>
    <n v="1"/>
    <n v="48800"/>
    <x v="3"/>
    <s v="Shipped"/>
    <n v="48800"/>
  </r>
  <r>
    <s v="ORD10133"/>
    <s v="CUST0025"/>
    <x v="113"/>
    <x v="0"/>
    <s v="Hyderabad"/>
    <x v="0"/>
    <s v="Water Bottle"/>
    <n v="3"/>
    <n v="650"/>
    <x v="0"/>
    <s v="Delivered"/>
    <n v="1950"/>
  </r>
  <r>
    <s v="ORD10134"/>
    <s v="CUST0037"/>
    <x v="114"/>
    <x v="1"/>
    <s v="Lucknow"/>
    <x v="4"/>
    <s v="Shampoo"/>
    <n v="2"/>
    <n v="200"/>
    <x v="0"/>
    <s v="Delivered"/>
    <n v="400"/>
  </r>
  <r>
    <s v="ORD10135"/>
    <s v="CUST0323"/>
    <x v="68"/>
    <x v="0"/>
    <s v="Hyderabad"/>
    <x v="1"/>
    <s v="Keyboard"/>
    <n v="3"/>
    <n v="4650"/>
    <x v="2"/>
    <s v="Cancelled"/>
    <n v="13950"/>
  </r>
  <r>
    <s v="ORD10136"/>
    <s v="CUST0059"/>
    <x v="25"/>
    <x v="2"/>
    <s v="Kolkata"/>
    <x v="2"/>
    <s v="Sneakers"/>
    <n v="3"/>
    <n v="7100"/>
    <x v="1"/>
    <s v="Shipped"/>
    <n v="21300"/>
  </r>
  <r>
    <s v="ORD10137"/>
    <s v="CUST0235"/>
    <x v="115"/>
    <x v="0"/>
    <s v="Hyderabad"/>
    <x v="4"/>
    <s v="Moisturizer"/>
    <n v="2"/>
    <n v="3450"/>
    <x v="1"/>
    <s v="Delivered"/>
    <n v="6900"/>
  </r>
  <r>
    <s v="ORD10138"/>
    <s v="CUST0356"/>
    <x v="116"/>
    <x v="2"/>
    <s v="Bhubaneswar"/>
    <x v="3"/>
    <s v="Football"/>
    <n v="1"/>
    <n v="1700"/>
    <x v="1"/>
    <s v="Delivered"/>
    <n v="1700"/>
  </r>
  <r>
    <s v="ORD10139"/>
    <s v="CUST0223"/>
    <x v="117"/>
    <x v="0"/>
    <s v="Bengaluru"/>
    <x v="3"/>
    <s v="Dumbbells"/>
    <n v="2"/>
    <n v="3250"/>
    <x v="4"/>
    <s v="Delivered"/>
    <n v="6500"/>
  </r>
  <r>
    <s v="ORD10140"/>
    <s v="CUST0412"/>
    <x v="118"/>
    <x v="3"/>
    <s v="Pune"/>
    <x v="2"/>
    <s v="Watch"/>
    <n v="1"/>
    <n v="2550"/>
    <x v="2"/>
    <s v="Shipped"/>
    <n v="2550"/>
  </r>
  <r>
    <s v="ORD10141"/>
    <s v="CUST0012"/>
    <x v="119"/>
    <x v="0"/>
    <s v="Vijayawada"/>
    <x v="1"/>
    <s v="Headphones"/>
    <n v="3"/>
    <n v="11850"/>
    <x v="4"/>
    <s v="Delivered"/>
    <n v="35550"/>
  </r>
  <r>
    <s v="ORD10142"/>
    <s v="CUST0381"/>
    <x v="120"/>
    <x v="2"/>
    <s v="Bhubaneswar"/>
    <x v="1"/>
    <s v="Monitor"/>
    <n v="4"/>
    <n v="63300"/>
    <x v="1"/>
    <s v="Delivered"/>
    <n v="253200"/>
  </r>
  <r>
    <s v="ORD10143"/>
    <s v="CUST0226"/>
    <x v="121"/>
    <x v="0"/>
    <s v="Chennai"/>
    <x v="1"/>
    <s v="Laptop"/>
    <n v="1"/>
    <n v="53350"/>
    <x v="0"/>
    <s v="Delivered"/>
    <n v="53350"/>
  </r>
  <r>
    <s v="ORD10144"/>
    <s v="CUST0175"/>
    <x v="43"/>
    <x v="1"/>
    <s v="Lucknow"/>
    <x v="3"/>
    <s v="Football"/>
    <n v="3"/>
    <n v="5500"/>
    <x v="0"/>
    <s v="Shipped"/>
    <n v="16500"/>
  </r>
  <r>
    <s v="ORD10145"/>
    <s v="CUST0443"/>
    <x v="43"/>
    <x v="2"/>
    <s v="Bhubaneswar"/>
    <x v="2"/>
    <s v="Sneakers"/>
    <n v="1"/>
    <n v="1550"/>
    <x v="4"/>
    <s v="Delivered"/>
    <n v="1550"/>
  </r>
  <r>
    <s v="ORD10146"/>
    <s v="CUST0320"/>
    <x v="122"/>
    <x v="1"/>
    <s v="Lucknow"/>
    <x v="0"/>
    <s v="Mixer Grinder"/>
    <n v="3"/>
    <n v="3850"/>
    <x v="0"/>
    <s v="Delivered"/>
    <n v="11550"/>
  </r>
  <r>
    <s v="ORD10147"/>
    <s v="CUST0008"/>
    <x v="123"/>
    <x v="2"/>
    <s v="Guwahati"/>
    <x v="4"/>
    <s v="Shampoo"/>
    <n v="1"/>
    <n v="2800"/>
    <x v="0"/>
    <s v="Delivered"/>
    <n v="2800"/>
  </r>
  <r>
    <s v="ORD10148"/>
    <s v="CUST0404"/>
    <x v="100"/>
    <x v="3"/>
    <s v="Ahmedabad"/>
    <x v="0"/>
    <s v="Air Fryer"/>
    <n v="1"/>
    <n v="7200"/>
    <x v="3"/>
    <s v="Returned"/>
    <n v="7200"/>
  </r>
  <r>
    <s v="ORD10149"/>
    <s v="CUST0117"/>
    <x v="124"/>
    <x v="3"/>
    <s v="Surat"/>
    <x v="0"/>
    <s v="Mixer Grinder"/>
    <n v="1"/>
    <n v="4000"/>
    <x v="2"/>
    <s v="Delivered"/>
    <n v="4000"/>
  </r>
  <r>
    <s v="ORD10150"/>
    <s v="CUST0032"/>
    <x v="95"/>
    <x v="0"/>
    <s v="Hyderabad"/>
    <x v="0"/>
    <s v="Table Lamp"/>
    <n v="1"/>
    <n v="900"/>
    <x v="2"/>
    <s v="Delivered"/>
    <n v="900"/>
  </r>
  <r>
    <s v="ORD10151"/>
    <s v="CUST0377"/>
    <x v="100"/>
    <x v="2"/>
    <s v="Kolkata"/>
    <x v="2"/>
    <s v="T-Shirt"/>
    <n v="2"/>
    <n v="700"/>
    <x v="0"/>
    <s v="Delivered"/>
    <n v="1400"/>
  </r>
  <r>
    <s v="ORD10152"/>
    <s v="CUST0233"/>
    <x v="125"/>
    <x v="3"/>
    <s v="Pune"/>
    <x v="1"/>
    <s v="Keyboard"/>
    <n v="4"/>
    <n v="50600"/>
    <x v="0"/>
    <s v="Delivered"/>
    <n v="202400"/>
  </r>
  <r>
    <s v="ORD10153"/>
    <s v="CUST0305"/>
    <x v="126"/>
    <x v="2"/>
    <s v="Bhubaneswar"/>
    <x v="1"/>
    <s v="Smartphone"/>
    <n v="3"/>
    <n v="45050"/>
    <x v="0"/>
    <s v="Delivered"/>
    <n v="135150"/>
  </r>
  <r>
    <s v="ORD10154"/>
    <s v="CUST0264"/>
    <x v="127"/>
    <x v="2"/>
    <s v="Kolkata"/>
    <x v="2"/>
    <s v="Sneakers"/>
    <n v="1"/>
    <n v="7500"/>
    <x v="2"/>
    <s v="Delivered"/>
    <n v="7500"/>
  </r>
  <r>
    <s v="ORD10155"/>
    <s v="CUST0022"/>
    <x v="69"/>
    <x v="0"/>
    <s v="Chennai"/>
    <x v="4"/>
    <s v="Perfume"/>
    <n v="2"/>
    <n v="2550"/>
    <x v="2"/>
    <s v="Delivered"/>
    <n v="5100"/>
  </r>
  <r>
    <s v="ORD10156"/>
    <s v="CUST0243"/>
    <x v="65"/>
    <x v="3"/>
    <s v="Ahmedabad"/>
    <x v="1"/>
    <s v="Keyboard"/>
    <n v="2"/>
    <n v="47300"/>
    <x v="1"/>
    <s v="Delivered"/>
    <n v="94600"/>
  </r>
  <r>
    <s v="ORD10157"/>
    <s v="CUST0402"/>
    <x v="128"/>
    <x v="3"/>
    <s v="Mumbai"/>
    <x v="0"/>
    <s v="Cookware Set"/>
    <n v="2"/>
    <n v="7150"/>
    <x v="2"/>
    <s v="Delivered"/>
    <n v="14300"/>
  </r>
  <r>
    <s v="ORD10158"/>
    <s v="CUST0353"/>
    <x v="129"/>
    <x v="1"/>
    <s v="Chandigarh"/>
    <x v="1"/>
    <s v="Laptop"/>
    <n v="2"/>
    <n v="13550"/>
    <x v="0"/>
    <s v="Delivered"/>
    <n v="27100"/>
  </r>
  <r>
    <s v="ORD10159"/>
    <s v="CUST0444"/>
    <x v="42"/>
    <x v="3"/>
    <s v="Mumbai"/>
    <x v="1"/>
    <s v="Headphones"/>
    <n v="2"/>
    <n v="55100"/>
    <x v="1"/>
    <s v="Delivered"/>
    <n v="110200"/>
  </r>
  <r>
    <s v="ORD10160"/>
    <s v="CUST0420"/>
    <x v="130"/>
    <x v="1"/>
    <s v="Chandigarh"/>
    <x v="2"/>
    <s v="Sneakers"/>
    <n v="1"/>
    <n v="600"/>
    <x v="1"/>
    <s v="Delivered"/>
    <n v="600"/>
  </r>
  <r>
    <s v="ORD10161"/>
    <s v="CUST0225"/>
    <x v="131"/>
    <x v="3"/>
    <s v="Pune"/>
    <x v="2"/>
    <s v="Sneakers"/>
    <n v="1"/>
    <n v="3150"/>
    <x v="2"/>
    <s v="Shipped"/>
    <n v="3150"/>
  </r>
  <r>
    <s v="ORD10162"/>
    <s v="CUST0422"/>
    <x v="132"/>
    <x v="2"/>
    <s v="Patna"/>
    <x v="4"/>
    <s v="Perfume"/>
    <n v="1"/>
    <n v="3250"/>
    <x v="2"/>
    <s v="Delivered"/>
    <n v="3250"/>
  </r>
  <r>
    <s v="ORD10163"/>
    <s v="CUST0379"/>
    <x v="133"/>
    <x v="1"/>
    <s v="Jaipur"/>
    <x v="1"/>
    <s v="Keyboard"/>
    <n v="1"/>
    <n v="33800"/>
    <x v="2"/>
    <s v="Delivered"/>
    <n v="33800"/>
  </r>
  <r>
    <s v="ORD10164"/>
    <s v="CUST0303"/>
    <x v="134"/>
    <x v="2"/>
    <s v="Kolkata"/>
    <x v="3"/>
    <s v="Cricket Bat"/>
    <n v="3"/>
    <n v="3600"/>
    <x v="0"/>
    <s v="Returned"/>
    <n v="10800"/>
  </r>
  <r>
    <s v="ORD10165"/>
    <s v="CUST0276"/>
    <x v="135"/>
    <x v="1"/>
    <s v="Chandigarh"/>
    <x v="1"/>
    <s v="Monitor"/>
    <n v="1"/>
    <n v="34100"/>
    <x v="3"/>
    <s v="Delivered"/>
    <n v="34100"/>
  </r>
  <r>
    <s v="ORD10166"/>
    <s v="CUST0165"/>
    <x v="109"/>
    <x v="0"/>
    <s v="Bengaluru"/>
    <x v="2"/>
    <s v="T-Shirt"/>
    <n v="1"/>
    <n v="1650"/>
    <x v="1"/>
    <s v="Delivered"/>
    <n v="1650"/>
  </r>
  <r>
    <s v="ORD10167"/>
    <s v="CUST0130"/>
    <x v="136"/>
    <x v="1"/>
    <s v="Lucknow"/>
    <x v="3"/>
    <s v="Running Shoes"/>
    <n v="1"/>
    <n v="8750"/>
    <x v="0"/>
    <s v="Delivered"/>
    <n v="8750"/>
  </r>
  <r>
    <s v="ORD10168"/>
    <s v="CUST0206"/>
    <x v="52"/>
    <x v="3"/>
    <s v="Ahmedabad"/>
    <x v="3"/>
    <s v="Dumbbells"/>
    <n v="4"/>
    <n v="4800"/>
    <x v="0"/>
    <s v="Delivered"/>
    <n v="19200"/>
  </r>
  <r>
    <s v="ORD10169"/>
    <s v="CUST0223"/>
    <x v="81"/>
    <x v="1"/>
    <s v="Lucknow"/>
    <x v="1"/>
    <s v="Headphones"/>
    <n v="4"/>
    <n v="1000"/>
    <x v="1"/>
    <s v="Shipped"/>
    <n v="4000"/>
  </r>
  <r>
    <s v="ORD10170"/>
    <s v="CUST0234"/>
    <x v="137"/>
    <x v="0"/>
    <s v="Bengaluru"/>
    <x v="2"/>
    <s v="Jeans"/>
    <n v="1"/>
    <n v="1450"/>
    <x v="0"/>
    <s v="Delivered"/>
    <n v="1450"/>
  </r>
  <r>
    <s v="ORD10171"/>
    <s v="CUST0311"/>
    <x v="138"/>
    <x v="3"/>
    <s v="Mumbai"/>
    <x v="3"/>
    <s v="Yoga Mat"/>
    <n v="3"/>
    <n v="4700"/>
    <x v="0"/>
    <s v="Delivered"/>
    <n v="14100"/>
  </r>
  <r>
    <s v="ORD10172"/>
    <s v="CUST0328"/>
    <x v="133"/>
    <x v="0"/>
    <s v="Bengaluru"/>
    <x v="3"/>
    <s v="Cricket Bat"/>
    <n v="3"/>
    <n v="6350"/>
    <x v="2"/>
    <s v="Delivered"/>
    <n v="19050"/>
  </r>
  <r>
    <s v="ORD10173"/>
    <s v="CUST0220"/>
    <x v="61"/>
    <x v="3"/>
    <s v="Ahmedabad"/>
    <x v="2"/>
    <s v="T-Shirt"/>
    <n v="1"/>
    <n v="5400"/>
    <x v="1"/>
    <s v="Delivered"/>
    <n v="5400"/>
  </r>
  <r>
    <s v="ORD10174"/>
    <s v="CUST0324"/>
    <x v="139"/>
    <x v="2"/>
    <s v="Kolkata"/>
    <x v="1"/>
    <s v="Laptop"/>
    <n v="3"/>
    <n v="56700"/>
    <x v="2"/>
    <s v="Delivered"/>
    <n v="170100"/>
  </r>
  <r>
    <s v="ORD10175"/>
    <s v="CUST0129"/>
    <x v="124"/>
    <x v="3"/>
    <s v="Pune"/>
    <x v="0"/>
    <s v="Cookware Set"/>
    <n v="3"/>
    <n v="8150"/>
    <x v="0"/>
    <s v="Shipped"/>
    <n v="24450"/>
  </r>
  <r>
    <s v="ORD10176"/>
    <s v="CUST0417"/>
    <x v="109"/>
    <x v="0"/>
    <s v="Hyderabad"/>
    <x v="0"/>
    <s v="Mixer Grinder"/>
    <n v="1"/>
    <n v="3450"/>
    <x v="1"/>
    <s v="Delivered"/>
    <n v="3450"/>
  </r>
  <r>
    <s v="ORD10177"/>
    <s v="CUST0265"/>
    <x v="69"/>
    <x v="0"/>
    <s v="Bengaluru"/>
    <x v="2"/>
    <s v="Sneakers"/>
    <n v="1"/>
    <n v="4850"/>
    <x v="1"/>
    <s v="Delivered"/>
    <n v="4850"/>
  </r>
  <r>
    <s v="ORD10178"/>
    <s v="CUST0300"/>
    <x v="140"/>
    <x v="1"/>
    <s v="Delhi"/>
    <x v="2"/>
    <s v="Jeans"/>
    <n v="1"/>
    <n v="6600"/>
    <x v="0"/>
    <s v="Delivered"/>
    <n v="6600"/>
  </r>
  <r>
    <s v="ORD10179"/>
    <s v="CUST0124"/>
    <x v="122"/>
    <x v="3"/>
    <s v="Ahmedabad"/>
    <x v="2"/>
    <s v="Jeans"/>
    <n v="1"/>
    <n v="550"/>
    <x v="0"/>
    <s v="Delivered"/>
    <n v="550"/>
  </r>
  <r>
    <s v="ORD10180"/>
    <s v="CUST0373"/>
    <x v="11"/>
    <x v="0"/>
    <s v="Hyderabad"/>
    <x v="2"/>
    <s v="Sneakers"/>
    <n v="1"/>
    <n v="4050"/>
    <x v="0"/>
    <s v="Delivered"/>
    <n v="4050"/>
  </r>
  <r>
    <s v="ORD10181"/>
    <s v="CUST0077"/>
    <x v="141"/>
    <x v="3"/>
    <s v="Ahmedabad"/>
    <x v="2"/>
    <s v="Watch"/>
    <n v="1"/>
    <n v="4800"/>
    <x v="1"/>
    <s v="Delivered"/>
    <n v="4800"/>
  </r>
  <r>
    <s v="ORD10182"/>
    <s v="CUST0426"/>
    <x v="142"/>
    <x v="0"/>
    <s v="Vijayawada"/>
    <x v="3"/>
    <s v="Football"/>
    <n v="2"/>
    <n v="2200"/>
    <x v="1"/>
    <s v="Delivered"/>
    <n v="4400"/>
  </r>
  <r>
    <s v="ORD10183"/>
    <s v="CUST0141"/>
    <x v="75"/>
    <x v="1"/>
    <s v="Lucknow"/>
    <x v="3"/>
    <s v="Running Shoes"/>
    <n v="1"/>
    <n v="8250"/>
    <x v="2"/>
    <s v="Delivered"/>
    <n v="8250"/>
  </r>
  <r>
    <s v="ORD10184"/>
    <s v="CUST0152"/>
    <x v="143"/>
    <x v="0"/>
    <s v="Hyderabad"/>
    <x v="2"/>
    <s v="Backpack"/>
    <n v="1"/>
    <n v="5300"/>
    <x v="2"/>
    <s v="Cancelled"/>
    <n v="5300"/>
  </r>
  <r>
    <s v="ORD10185"/>
    <s v="CUST0403"/>
    <x v="144"/>
    <x v="3"/>
    <s v="Pune"/>
    <x v="2"/>
    <s v="Sneakers"/>
    <n v="3"/>
    <n v="5950"/>
    <x v="1"/>
    <s v="Shipped"/>
    <n v="17850"/>
  </r>
  <r>
    <s v="ORD10186"/>
    <s v="CUST0432"/>
    <x v="136"/>
    <x v="0"/>
    <s v="Hyderabad"/>
    <x v="1"/>
    <s v="Smartphone"/>
    <n v="3"/>
    <n v="48100"/>
    <x v="0"/>
    <s v="Delivered"/>
    <n v="144300"/>
  </r>
  <r>
    <s v="ORD10187"/>
    <s v="CUST0258"/>
    <x v="145"/>
    <x v="0"/>
    <s v="Chennai"/>
    <x v="2"/>
    <s v="Backpack"/>
    <n v="1"/>
    <n v="2150"/>
    <x v="2"/>
    <s v="Delivered"/>
    <n v="2150"/>
  </r>
  <r>
    <s v="ORD10188"/>
    <s v="CUST0188"/>
    <x v="110"/>
    <x v="3"/>
    <s v="Pune"/>
    <x v="1"/>
    <s v="Headphones"/>
    <n v="2"/>
    <n v="28250"/>
    <x v="1"/>
    <s v="Returned"/>
    <n v="56500"/>
  </r>
  <r>
    <s v="ORD10189"/>
    <s v="CUST0387"/>
    <x v="146"/>
    <x v="0"/>
    <s v="Vijayawada"/>
    <x v="1"/>
    <s v="Smartphone"/>
    <n v="1"/>
    <n v="18350"/>
    <x v="0"/>
    <s v="Cancelled"/>
    <n v="18350"/>
  </r>
  <r>
    <s v="ORD10190"/>
    <s v="CUST0027"/>
    <x v="38"/>
    <x v="0"/>
    <s v="Chennai"/>
    <x v="0"/>
    <s v="Water Bottle"/>
    <n v="2"/>
    <n v="850"/>
    <x v="0"/>
    <s v="Shipped"/>
    <n v="1700"/>
  </r>
  <r>
    <s v="ORD10191"/>
    <s v="CUST0258"/>
    <x v="147"/>
    <x v="3"/>
    <s v="Surat"/>
    <x v="2"/>
    <s v="Jeans"/>
    <n v="1"/>
    <n v="2850"/>
    <x v="1"/>
    <s v="Returned"/>
    <n v="2850"/>
  </r>
  <r>
    <s v="ORD10192"/>
    <s v="CUST0287"/>
    <x v="148"/>
    <x v="1"/>
    <s v="Chandigarh"/>
    <x v="2"/>
    <s v="Jeans"/>
    <n v="2"/>
    <n v="850"/>
    <x v="4"/>
    <s v="Delivered"/>
    <n v="1700"/>
  </r>
  <r>
    <s v="ORD10193"/>
    <s v="CUST0003"/>
    <x v="21"/>
    <x v="0"/>
    <s v="Hyderabad"/>
    <x v="1"/>
    <s v="Smartphone"/>
    <n v="1"/>
    <n v="53550"/>
    <x v="0"/>
    <s v="Returned"/>
    <n v="53550"/>
  </r>
  <r>
    <s v="ORD10194"/>
    <s v="CUST0149"/>
    <x v="43"/>
    <x v="2"/>
    <s v="Bhubaneswar"/>
    <x v="0"/>
    <s v="Cookware Set"/>
    <n v="4"/>
    <n v="8950"/>
    <x v="2"/>
    <s v="Shipped"/>
    <n v="35800"/>
  </r>
  <r>
    <s v="ORD10195"/>
    <s v="CUST0142"/>
    <x v="149"/>
    <x v="3"/>
    <s v="Surat"/>
    <x v="2"/>
    <s v="Jeans"/>
    <n v="3"/>
    <n v="1350"/>
    <x v="1"/>
    <s v="Delivered"/>
    <n v="4050"/>
  </r>
  <r>
    <s v="ORD10196"/>
    <s v="CUST0180"/>
    <x v="150"/>
    <x v="0"/>
    <s v="Hyderabad"/>
    <x v="0"/>
    <s v="Air Fryer"/>
    <n v="4"/>
    <n v="1000"/>
    <x v="2"/>
    <s v="Delivered"/>
    <n v="4000"/>
  </r>
  <r>
    <s v="ORD10197"/>
    <s v="CUST0012"/>
    <x v="151"/>
    <x v="2"/>
    <s v="Bhubaneswar"/>
    <x v="0"/>
    <s v="Cookware Set"/>
    <n v="2"/>
    <n v="8300"/>
    <x v="4"/>
    <s v="Shipped"/>
    <n v="16600"/>
  </r>
  <r>
    <s v="ORD10198"/>
    <s v="CUST0436"/>
    <x v="152"/>
    <x v="3"/>
    <s v="Pune"/>
    <x v="0"/>
    <s v="Air Fryer"/>
    <n v="3"/>
    <n v="7950"/>
    <x v="3"/>
    <s v="Shipped"/>
    <n v="23850"/>
  </r>
  <r>
    <s v="ORD10199"/>
    <s v="CUST0025"/>
    <x v="122"/>
    <x v="0"/>
    <s v="Chennai"/>
    <x v="1"/>
    <s v="Headphones"/>
    <n v="1"/>
    <n v="45400"/>
    <x v="5"/>
    <s v="Delivered"/>
    <n v="45400"/>
  </r>
  <r>
    <s v="ORD10200"/>
    <s v="CUST0425"/>
    <x v="153"/>
    <x v="2"/>
    <s v="Bhubaneswar"/>
    <x v="0"/>
    <s v="Mixer Grinder"/>
    <n v="3"/>
    <n v="1450"/>
    <x v="3"/>
    <s v="Delivered"/>
    <n v="4350"/>
  </r>
  <r>
    <s v="ORD10201"/>
    <s v="CUST0128"/>
    <x v="15"/>
    <x v="0"/>
    <s v="Bengaluru"/>
    <x v="2"/>
    <s v="Jeans"/>
    <n v="1"/>
    <n v="4250"/>
    <x v="0"/>
    <s v="Delivered"/>
    <n v="4250"/>
  </r>
  <r>
    <s v="ORD10202"/>
    <s v="CUST0151"/>
    <x v="134"/>
    <x v="1"/>
    <s v="Bengaluru"/>
    <x v="2"/>
    <s v="Backpack"/>
    <n v="1"/>
    <n v="6850"/>
    <x v="0"/>
    <s v="Delivered"/>
    <n v="6850"/>
  </r>
  <r>
    <s v="ORD10203"/>
    <s v="CUST0083"/>
    <x v="154"/>
    <x v="0"/>
    <s v="Hyderabad"/>
    <x v="1"/>
    <s v="Monitor"/>
    <n v="5"/>
    <n v="4450"/>
    <x v="0"/>
    <s v="Delivered"/>
    <n v="22250"/>
  </r>
  <r>
    <s v="ORD10204"/>
    <s v="CUST0040"/>
    <x v="155"/>
    <x v="0"/>
    <s v="Chennai"/>
    <x v="1"/>
    <s v="Keyboard"/>
    <n v="2"/>
    <n v="12150"/>
    <x v="1"/>
    <s v="Delivered"/>
    <n v="24300"/>
  </r>
  <r>
    <s v="ORD10205"/>
    <s v="CUST0191"/>
    <x v="156"/>
    <x v="0"/>
    <s v="Vijayawada"/>
    <x v="1"/>
    <s v="Keyboard"/>
    <n v="3"/>
    <n v="42850"/>
    <x v="1"/>
    <s v="Shipped"/>
    <n v="128550"/>
  </r>
  <r>
    <s v="ORD10206"/>
    <s v="CUST0183"/>
    <x v="156"/>
    <x v="0"/>
    <s v="Vijayawada"/>
    <x v="2"/>
    <s v="Sneakers"/>
    <n v="1"/>
    <n v="4050"/>
    <x v="2"/>
    <s v="Returned"/>
    <n v="4050"/>
  </r>
  <r>
    <s v="ORD10207"/>
    <s v="CUST0213"/>
    <x v="157"/>
    <x v="3"/>
    <s v="Pune"/>
    <x v="0"/>
    <s v="Table Lamp"/>
    <n v="2"/>
    <n v="1900"/>
    <x v="0"/>
    <s v="Shipped"/>
    <n v="3800"/>
  </r>
  <r>
    <s v="ORD10208"/>
    <s v="CUST0183"/>
    <x v="158"/>
    <x v="0"/>
    <s v="Hyderabad"/>
    <x v="4"/>
    <s v="Hair Dryer"/>
    <n v="2"/>
    <n v="750"/>
    <x v="2"/>
    <s v="Shipped"/>
    <n v="1500"/>
  </r>
  <r>
    <s v="ORD10209"/>
    <s v="CUST0422"/>
    <x v="159"/>
    <x v="2"/>
    <s v="Guwahati"/>
    <x v="0"/>
    <s v="Cookware Set"/>
    <n v="1"/>
    <n v="6700"/>
    <x v="2"/>
    <s v="Delivered"/>
    <n v="6700"/>
  </r>
  <r>
    <s v="ORD10210"/>
    <s v="CUST0029"/>
    <x v="160"/>
    <x v="0"/>
    <s v="Vijayawada"/>
    <x v="4"/>
    <s v="Hair Dryer"/>
    <n v="1"/>
    <n v="4000"/>
    <x v="1"/>
    <s v="Delivered"/>
    <n v="4000"/>
  </r>
  <r>
    <s v="ORD10211"/>
    <s v="CUST0200"/>
    <x v="123"/>
    <x v="0"/>
    <s v="Vijayawada"/>
    <x v="3"/>
    <s v="Cricket Bat"/>
    <n v="2"/>
    <n v="4900"/>
    <x v="1"/>
    <s v="Cancelled"/>
    <n v="9800"/>
  </r>
  <r>
    <s v="ORD10212"/>
    <s v="CUST0087"/>
    <x v="161"/>
    <x v="0"/>
    <s v="Vijayawada"/>
    <x v="3"/>
    <s v="Dumbbells"/>
    <n v="1"/>
    <n v="9900"/>
    <x v="0"/>
    <s v="Delivered"/>
    <n v="9900"/>
  </r>
  <r>
    <s v="ORD10213"/>
    <s v="CUST0228"/>
    <x v="76"/>
    <x v="0"/>
    <s v="Vijayawada"/>
    <x v="2"/>
    <s v="Sneakers"/>
    <n v="2"/>
    <n v="650"/>
    <x v="2"/>
    <s v="Delivered"/>
    <n v="1300"/>
  </r>
  <r>
    <s v="ORD10214"/>
    <s v="CUST0008"/>
    <x v="145"/>
    <x v="3"/>
    <s v="Surat"/>
    <x v="3"/>
    <s v="Football"/>
    <n v="1"/>
    <n v="3850"/>
    <x v="2"/>
    <s v="Shipped"/>
    <n v="3850"/>
  </r>
  <r>
    <s v="ORD10215"/>
    <s v="CUST0049"/>
    <x v="149"/>
    <x v="2"/>
    <s v="Guwahati"/>
    <x v="0"/>
    <s v="Cookware Set"/>
    <n v="2"/>
    <n v="7000"/>
    <x v="2"/>
    <s v="Delivered"/>
    <n v="14000"/>
  </r>
  <r>
    <s v="ORD10216"/>
    <s v="CUST0347"/>
    <x v="116"/>
    <x v="3"/>
    <s v="Pune"/>
    <x v="2"/>
    <s v="T-Shirt"/>
    <n v="3"/>
    <n v="4050"/>
    <x v="0"/>
    <s v="Delivered"/>
    <n v="12150"/>
  </r>
  <r>
    <s v="ORD10217"/>
    <s v="CUST0424"/>
    <x v="162"/>
    <x v="2"/>
    <s v="Guwahati"/>
    <x v="2"/>
    <s v="Watch"/>
    <n v="2"/>
    <n v="6550"/>
    <x v="0"/>
    <s v="Delivered"/>
    <n v="13100"/>
  </r>
  <r>
    <s v="ORD10218"/>
    <s v="CUST0288"/>
    <x v="163"/>
    <x v="1"/>
    <s v="Jaipur"/>
    <x v="1"/>
    <s v="Monitor"/>
    <n v="4"/>
    <n v="40100"/>
    <x v="0"/>
    <s v="Delivered"/>
    <n v="160400"/>
  </r>
  <r>
    <s v="ORD10219"/>
    <s v="CUST0149"/>
    <x v="164"/>
    <x v="0"/>
    <s v="Vijayawada"/>
    <x v="1"/>
    <s v="Headphones"/>
    <n v="3"/>
    <n v="21100"/>
    <x v="0"/>
    <s v="Delivered"/>
    <n v="63300"/>
  </r>
  <r>
    <s v="ORD10220"/>
    <s v="CUST0258"/>
    <x v="165"/>
    <x v="0"/>
    <s v="Vijayawada"/>
    <x v="3"/>
    <s v="Running Shoes"/>
    <n v="5"/>
    <n v="5700"/>
    <x v="4"/>
    <s v="Delivered"/>
    <n v="28500"/>
  </r>
  <r>
    <s v="ORD10221"/>
    <s v="CUST0421"/>
    <x v="166"/>
    <x v="3"/>
    <s v="Ahmedabad"/>
    <x v="2"/>
    <s v="Backpack"/>
    <n v="1"/>
    <n v="4100"/>
    <x v="0"/>
    <s v="Delivered"/>
    <n v="4100"/>
  </r>
  <r>
    <s v="ORD10222"/>
    <s v="CUST0229"/>
    <x v="167"/>
    <x v="0"/>
    <s v="Chennai"/>
    <x v="4"/>
    <s v="Moisturizer"/>
    <n v="1"/>
    <n v="950"/>
    <x v="2"/>
    <s v="Cancelled"/>
    <n v="950"/>
  </r>
  <r>
    <s v="ORD10223"/>
    <s v="CUST0320"/>
    <x v="168"/>
    <x v="0"/>
    <s v="Hyderabad"/>
    <x v="1"/>
    <s v="Smartphone"/>
    <n v="3"/>
    <n v="48400"/>
    <x v="0"/>
    <s v="Delivered"/>
    <n v="145200"/>
  </r>
  <r>
    <s v="ORD10224"/>
    <s v="CUST0393"/>
    <x v="35"/>
    <x v="1"/>
    <s v="Chandigarh"/>
    <x v="2"/>
    <s v="T-Shirt"/>
    <n v="2"/>
    <n v="6600"/>
    <x v="1"/>
    <s v="Delivered"/>
    <n v="13200"/>
  </r>
  <r>
    <s v="ORD10225"/>
    <s v="CUST0400"/>
    <x v="111"/>
    <x v="0"/>
    <s v="Hyderabad"/>
    <x v="3"/>
    <s v="Cricket Bat"/>
    <n v="2"/>
    <n v="600"/>
    <x v="1"/>
    <s v="Delivered"/>
    <n v="1200"/>
  </r>
  <r>
    <s v="ORD10226"/>
    <s v="CUST0154"/>
    <x v="136"/>
    <x v="2"/>
    <s v="Guwahati"/>
    <x v="3"/>
    <s v="Football"/>
    <n v="2"/>
    <n v="4150"/>
    <x v="1"/>
    <s v="Delivered"/>
    <n v="8300"/>
  </r>
  <r>
    <s v="ORD10227"/>
    <s v="CUST0004"/>
    <x v="169"/>
    <x v="0"/>
    <s v="Bengaluru"/>
    <x v="2"/>
    <s v="Watch"/>
    <n v="3"/>
    <n v="3100"/>
    <x v="0"/>
    <s v="Delivered"/>
    <n v="9300"/>
  </r>
  <r>
    <s v="ORD10228"/>
    <s v="CUST0403"/>
    <x v="170"/>
    <x v="1"/>
    <s v="Lucknow"/>
    <x v="2"/>
    <s v="Watch"/>
    <n v="1"/>
    <n v="5750"/>
    <x v="2"/>
    <s v="Delivered"/>
    <n v="5750"/>
  </r>
  <r>
    <s v="ORD10229"/>
    <s v="CUST0117"/>
    <x v="171"/>
    <x v="1"/>
    <s v="Jaipur"/>
    <x v="1"/>
    <s v="Monitor"/>
    <n v="2"/>
    <n v="10300"/>
    <x v="1"/>
    <s v="Returned"/>
    <n v="20600"/>
  </r>
  <r>
    <s v="ORD10230"/>
    <s v="CUST0251"/>
    <x v="148"/>
    <x v="0"/>
    <s v="Chennai"/>
    <x v="2"/>
    <s v="Watch"/>
    <n v="1"/>
    <n v="6000"/>
    <x v="2"/>
    <s v="Delivered"/>
    <n v="6000"/>
  </r>
  <r>
    <s v="ORD10231"/>
    <s v="CUST0198"/>
    <x v="172"/>
    <x v="0"/>
    <s v="Hyderabad"/>
    <x v="3"/>
    <s v="Running Shoes"/>
    <n v="2"/>
    <n v="4500"/>
    <x v="1"/>
    <s v="Delivered"/>
    <n v="9000"/>
  </r>
  <r>
    <s v="ORD10232"/>
    <s v="CUST0107"/>
    <x v="16"/>
    <x v="3"/>
    <s v="Pune"/>
    <x v="3"/>
    <s v="Football"/>
    <n v="1"/>
    <n v="6100"/>
    <x v="2"/>
    <s v="Delivered"/>
    <n v="6100"/>
  </r>
  <r>
    <s v="ORD10233"/>
    <s v="CUST0069"/>
    <x v="173"/>
    <x v="3"/>
    <s v="Ahmedabad"/>
    <x v="2"/>
    <s v="Watch"/>
    <n v="4"/>
    <n v="2650"/>
    <x v="0"/>
    <s v="Delivered"/>
    <n v="10600"/>
  </r>
  <r>
    <s v="ORD10234"/>
    <s v="CUST0295"/>
    <x v="174"/>
    <x v="3"/>
    <s v="Pune"/>
    <x v="0"/>
    <s v="Cookware Set"/>
    <n v="2"/>
    <n v="8450"/>
    <x v="1"/>
    <s v="Delivered"/>
    <n v="16900"/>
  </r>
  <r>
    <s v="ORD10235"/>
    <s v="CUST0036"/>
    <x v="175"/>
    <x v="3"/>
    <s v="Pune"/>
    <x v="4"/>
    <s v="Perfume"/>
    <n v="1"/>
    <n v="1300"/>
    <x v="2"/>
    <s v="Cancelled"/>
    <n v="1300"/>
  </r>
  <r>
    <s v="ORD10236"/>
    <s v="CUST0336"/>
    <x v="176"/>
    <x v="0"/>
    <s v="Bengaluru"/>
    <x v="1"/>
    <s v="Keyboard"/>
    <n v="1"/>
    <n v="17550"/>
    <x v="3"/>
    <s v="Delivered"/>
    <n v="17550"/>
  </r>
  <r>
    <s v="ORD10237"/>
    <s v="CUST0363"/>
    <x v="177"/>
    <x v="3"/>
    <s v="Surat"/>
    <x v="0"/>
    <s v="Mixer Grinder"/>
    <n v="3"/>
    <n v="1600"/>
    <x v="0"/>
    <s v="Delivered"/>
    <n v="4800"/>
  </r>
  <r>
    <s v="ORD10238"/>
    <s v="CUST0143"/>
    <x v="106"/>
    <x v="3"/>
    <s v="Pune"/>
    <x v="2"/>
    <s v="T-Shirt"/>
    <n v="1"/>
    <n v="7250"/>
    <x v="1"/>
    <s v="Returned"/>
    <n v="7250"/>
  </r>
  <r>
    <s v="ORD10239"/>
    <s v="CUST0087"/>
    <x v="5"/>
    <x v="1"/>
    <s v="Chandigarh"/>
    <x v="0"/>
    <s v="Air Fryer"/>
    <n v="2"/>
    <n v="5700"/>
    <x v="4"/>
    <s v="Delivered"/>
    <n v="11400"/>
  </r>
  <r>
    <s v="ORD10240"/>
    <s v="CUST0117"/>
    <x v="178"/>
    <x v="1"/>
    <s v="Delhi"/>
    <x v="1"/>
    <s v="Laptop"/>
    <n v="4"/>
    <n v="61600"/>
    <x v="0"/>
    <s v="Delivered"/>
    <n v="246400"/>
  </r>
  <r>
    <s v="ORD10241"/>
    <s v="CUST0043"/>
    <x v="179"/>
    <x v="2"/>
    <s v="Patna"/>
    <x v="0"/>
    <s v="Mixer Grinder"/>
    <n v="5"/>
    <n v="5000"/>
    <x v="0"/>
    <s v="Delivered"/>
    <n v="25000"/>
  </r>
  <r>
    <s v="ORD10242"/>
    <s v="CUST0022"/>
    <x v="180"/>
    <x v="1"/>
    <s v="Jaipur"/>
    <x v="4"/>
    <s v="Face Wash"/>
    <n v="3"/>
    <n v="1300"/>
    <x v="2"/>
    <s v="Delivered"/>
    <n v="3900"/>
  </r>
  <r>
    <s v="ORD10243"/>
    <s v="CUST0294"/>
    <x v="181"/>
    <x v="1"/>
    <s v="Chandigarh"/>
    <x v="1"/>
    <s v="Smartphone"/>
    <n v="2"/>
    <n v="30300"/>
    <x v="0"/>
    <s v="Shipped"/>
    <n v="60600"/>
  </r>
  <r>
    <s v="ORD10244"/>
    <s v="CUST0372"/>
    <x v="182"/>
    <x v="3"/>
    <s v="Surat"/>
    <x v="0"/>
    <s v="Water Bottle"/>
    <n v="3"/>
    <n v="3200"/>
    <x v="2"/>
    <s v="Delivered"/>
    <n v="9600"/>
  </r>
  <r>
    <s v="ORD10245"/>
    <s v="CUST0026"/>
    <x v="183"/>
    <x v="3"/>
    <s v="Surat"/>
    <x v="1"/>
    <s v="Headphones"/>
    <n v="1"/>
    <n v="56700"/>
    <x v="2"/>
    <s v="Returned"/>
    <n v="56700"/>
  </r>
  <r>
    <s v="ORD10246"/>
    <s v="CUST0379"/>
    <x v="184"/>
    <x v="2"/>
    <s v="Kolkata"/>
    <x v="1"/>
    <s v="Monitor"/>
    <n v="3"/>
    <n v="25800"/>
    <x v="2"/>
    <s v="Delivered"/>
    <n v="77400"/>
  </r>
  <r>
    <s v="ORD10247"/>
    <s v="CUST0085"/>
    <x v="185"/>
    <x v="2"/>
    <s v="Guwahati"/>
    <x v="1"/>
    <s v="Headphones"/>
    <n v="1"/>
    <n v="12700"/>
    <x v="0"/>
    <s v="Delivered"/>
    <n v="12700"/>
  </r>
  <r>
    <s v="ORD10248"/>
    <s v="CUST0283"/>
    <x v="186"/>
    <x v="0"/>
    <s v="Vijayawada"/>
    <x v="4"/>
    <s v="Shampoo"/>
    <n v="1"/>
    <n v="2900"/>
    <x v="1"/>
    <s v="Delivered"/>
    <n v="2900"/>
  </r>
  <r>
    <s v="ORD10249"/>
    <s v="CUST0260"/>
    <x v="187"/>
    <x v="3"/>
    <s v="Ahmedabad"/>
    <x v="1"/>
    <s v="Laptop"/>
    <n v="3"/>
    <n v="12550"/>
    <x v="1"/>
    <s v="Delivered"/>
    <n v="37650"/>
  </r>
  <r>
    <s v="ORD10250"/>
    <s v="CUST0158"/>
    <x v="188"/>
    <x v="3"/>
    <s v="Pune"/>
    <x v="3"/>
    <s v="Yoga Mat"/>
    <n v="5"/>
    <n v="3550"/>
    <x v="2"/>
    <s v="Delivered"/>
    <n v="17750"/>
  </r>
  <r>
    <s v="ORD10251"/>
    <s v="CUST0196"/>
    <x v="122"/>
    <x v="2"/>
    <s v="Patna"/>
    <x v="0"/>
    <s v="Cookware Set"/>
    <n v="1"/>
    <n v="6000"/>
    <x v="1"/>
    <s v="Delivered"/>
    <n v="6000"/>
  </r>
  <r>
    <s v="ORD10252"/>
    <s v="CUST0134"/>
    <x v="128"/>
    <x v="0"/>
    <s v="Hyderabad"/>
    <x v="3"/>
    <s v="Cricket Bat"/>
    <n v="1"/>
    <n v="9750"/>
    <x v="0"/>
    <s v="Cancelled"/>
    <n v="9750"/>
  </r>
  <r>
    <s v="ORD10253"/>
    <s v="CUST0076"/>
    <x v="13"/>
    <x v="1"/>
    <s v="Lucknow"/>
    <x v="4"/>
    <s v="Face Wash"/>
    <n v="1"/>
    <n v="3350"/>
    <x v="0"/>
    <s v="Shipped"/>
    <n v="3350"/>
  </r>
  <r>
    <s v="ORD10254"/>
    <s v="CUST0431"/>
    <x v="189"/>
    <x v="0"/>
    <s v="Bengaluru"/>
    <x v="1"/>
    <s v="Headphones"/>
    <n v="1"/>
    <n v="7150"/>
    <x v="0"/>
    <s v="Delivered"/>
    <n v="7150"/>
  </r>
  <r>
    <s v="ORD10255"/>
    <s v="CUST0419"/>
    <x v="80"/>
    <x v="1"/>
    <s v="Chandigarh"/>
    <x v="4"/>
    <s v="Face Wash"/>
    <n v="3"/>
    <n v="1900"/>
    <x v="2"/>
    <s v="Returned"/>
    <n v="5700"/>
  </r>
  <r>
    <s v="ORD10256"/>
    <s v="CUST0001"/>
    <x v="28"/>
    <x v="0"/>
    <s v="Vijayawada"/>
    <x v="1"/>
    <s v="Smartphone"/>
    <n v="2"/>
    <n v="950"/>
    <x v="0"/>
    <s v="Delivered"/>
    <n v="1900"/>
  </r>
  <r>
    <s v="ORD10257"/>
    <s v="CUST0437"/>
    <x v="110"/>
    <x v="3"/>
    <s v="Mumbai"/>
    <x v="1"/>
    <s v="Monitor"/>
    <n v="1"/>
    <n v="14550"/>
    <x v="0"/>
    <s v="Delivered"/>
    <n v="14550"/>
  </r>
  <r>
    <s v="ORD10258"/>
    <s v="CUST0134"/>
    <x v="88"/>
    <x v="2"/>
    <s v="Patna"/>
    <x v="4"/>
    <s v="Perfume"/>
    <n v="1"/>
    <n v="4100"/>
    <x v="3"/>
    <s v="Delivered"/>
    <n v="4100"/>
  </r>
  <r>
    <s v="ORD10259"/>
    <s v="CUST0147"/>
    <x v="62"/>
    <x v="0"/>
    <s v="Vijayawada"/>
    <x v="1"/>
    <s v="Monitor"/>
    <n v="1"/>
    <n v="25100"/>
    <x v="2"/>
    <s v="Delivered"/>
    <n v="25100"/>
  </r>
  <r>
    <s v="ORD10260"/>
    <s v="CUST0083"/>
    <x v="190"/>
    <x v="1"/>
    <s v="Delhi"/>
    <x v="4"/>
    <s v="Moisturizer"/>
    <n v="1"/>
    <n v="2200"/>
    <x v="4"/>
    <s v="Delivered"/>
    <n v="2200"/>
  </r>
  <r>
    <s v="ORD10261"/>
    <s v="CUST0375"/>
    <x v="191"/>
    <x v="3"/>
    <s v="Surat"/>
    <x v="3"/>
    <s v="Cricket Bat"/>
    <n v="4"/>
    <n v="650"/>
    <x v="1"/>
    <s v="Delivered"/>
    <n v="2600"/>
  </r>
  <r>
    <s v="ORD10262"/>
    <s v="CUST0161"/>
    <x v="192"/>
    <x v="0"/>
    <s v="Bengaluru"/>
    <x v="0"/>
    <s v="Cookware Set"/>
    <n v="1"/>
    <n v="1300"/>
    <x v="0"/>
    <s v="Delivered"/>
    <n v="1300"/>
  </r>
  <r>
    <s v="ORD10263"/>
    <s v="CUST0264"/>
    <x v="193"/>
    <x v="0"/>
    <s v="Hyderabad"/>
    <x v="0"/>
    <s v="Water Bottle"/>
    <n v="2"/>
    <n v="2850"/>
    <x v="0"/>
    <s v="Cancelled"/>
    <n v="5700"/>
  </r>
  <r>
    <s v="ORD10264"/>
    <s v="CUST0035"/>
    <x v="194"/>
    <x v="2"/>
    <s v="Patna"/>
    <x v="2"/>
    <s v="T-Shirt"/>
    <n v="1"/>
    <n v="1000"/>
    <x v="1"/>
    <s v="Delivered"/>
    <n v="1000"/>
  </r>
  <r>
    <s v="ORD10265"/>
    <s v="CUST0201"/>
    <x v="84"/>
    <x v="1"/>
    <s v="Delhi"/>
    <x v="3"/>
    <s v="Cricket Bat"/>
    <n v="3"/>
    <n v="1100"/>
    <x v="2"/>
    <s v="Delivered"/>
    <n v="3300"/>
  </r>
  <r>
    <s v="ORD10266"/>
    <s v="CUST0174"/>
    <x v="172"/>
    <x v="2"/>
    <s v="Kolkata"/>
    <x v="3"/>
    <s v="Cricket Bat"/>
    <n v="2"/>
    <n v="750"/>
    <x v="0"/>
    <s v="Cancelled"/>
    <n v="1500"/>
  </r>
  <r>
    <s v="ORD10267"/>
    <s v="CUST0179"/>
    <x v="141"/>
    <x v="2"/>
    <s v="Kolkata"/>
    <x v="1"/>
    <s v="Monitor"/>
    <n v="4"/>
    <n v="11650"/>
    <x v="2"/>
    <s v="Shipped"/>
    <n v="46600"/>
  </r>
  <r>
    <s v="ORD10268"/>
    <s v="CUST0347"/>
    <x v="195"/>
    <x v="0"/>
    <s v="Bengaluru"/>
    <x v="2"/>
    <s v="Backpack"/>
    <n v="5"/>
    <n v="6400"/>
    <x v="0"/>
    <s v="Delivered"/>
    <n v="32000"/>
  </r>
  <r>
    <s v="ORD10269"/>
    <s v="CUST0449"/>
    <x v="196"/>
    <x v="0"/>
    <s v="Hyderabad"/>
    <x v="2"/>
    <s v="T-Shirt"/>
    <n v="1"/>
    <n v="4000"/>
    <x v="0"/>
    <s v="Delivered"/>
    <n v="4000"/>
  </r>
  <r>
    <s v="ORD10270"/>
    <s v="CUST0049"/>
    <x v="110"/>
    <x v="0"/>
    <s v="Chennai"/>
    <x v="0"/>
    <s v="Water Bottle"/>
    <n v="1"/>
    <n v="4150"/>
    <x v="2"/>
    <s v="Delivered"/>
    <n v="4150"/>
  </r>
  <r>
    <s v="ORD10271"/>
    <s v="CUST0363"/>
    <x v="197"/>
    <x v="2"/>
    <s v="Kolkata"/>
    <x v="1"/>
    <s v="Monitor"/>
    <n v="3"/>
    <n v="22500"/>
    <x v="2"/>
    <s v="Delivered"/>
    <n v="67500"/>
  </r>
  <r>
    <s v="ORD10272"/>
    <s v="CUST0041"/>
    <x v="48"/>
    <x v="3"/>
    <s v="Mumbai"/>
    <x v="3"/>
    <s v="Yoga Mat"/>
    <n v="1"/>
    <n v="6350"/>
    <x v="0"/>
    <s v="Delivered"/>
    <n v="6350"/>
  </r>
  <r>
    <s v="ORD10273"/>
    <s v="CUST0332"/>
    <x v="185"/>
    <x v="0"/>
    <s v="Chennai"/>
    <x v="0"/>
    <s v="Water Bottle"/>
    <n v="1"/>
    <n v="1400"/>
    <x v="2"/>
    <s v="Delivered"/>
    <n v="1400"/>
  </r>
  <r>
    <s v="ORD10274"/>
    <s v="CUST0008"/>
    <x v="198"/>
    <x v="0"/>
    <s v="Hyderabad"/>
    <x v="3"/>
    <s v="Dumbbells"/>
    <n v="3"/>
    <n v="3450"/>
    <x v="4"/>
    <s v="Shipped"/>
    <n v="10350"/>
  </r>
  <r>
    <s v="ORD10275"/>
    <s v="CUST0127"/>
    <x v="199"/>
    <x v="2"/>
    <s v="Kolkata"/>
    <x v="2"/>
    <s v="Watch"/>
    <n v="2"/>
    <n v="5000"/>
    <x v="0"/>
    <s v="Delivered"/>
    <n v="10000"/>
  </r>
  <r>
    <s v="ORD10276"/>
    <s v="CUST0447"/>
    <x v="121"/>
    <x v="1"/>
    <s v="Delhi"/>
    <x v="1"/>
    <s v="Keyboard"/>
    <n v="1"/>
    <n v="5250"/>
    <x v="0"/>
    <s v="Cancelled"/>
    <n v="5250"/>
  </r>
  <r>
    <s v="ORD10277"/>
    <s v="CUST0028"/>
    <x v="19"/>
    <x v="2"/>
    <s v="Kolkata"/>
    <x v="2"/>
    <s v="Jeans"/>
    <n v="2"/>
    <n v="500"/>
    <x v="3"/>
    <s v="Delivered"/>
    <n v="1000"/>
  </r>
  <r>
    <s v="ORD10278"/>
    <s v="CUST0268"/>
    <x v="200"/>
    <x v="3"/>
    <s v="Mumbai"/>
    <x v="4"/>
    <s v="Moisturizer"/>
    <n v="2"/>
    <n v="500"/>
    <x v="0"/>
    <s v="Delivered"/>
    <n v="1000"/>
  </r>
  <r>
    <s v="ORD10279"/>
    <s v="CUST0294"/>
    <x v="201"/>
    <x v="1"/>
    <s v="Delhi"/>
    <x v="0"/>
    <s v="Table Lamp"/>
    <n v="2"/>
    <n v="1350"/>
    <x v="0"/>
    <s v="Delivered"/>
    <n v="2700"/>
  </r>
  <r>
    <s v="ORD10280"/>
    <s v="CUST0364"/>
    <x v="117"/>
    <x v="1"/>
    <s v="Lucknow"/>
    <x v="0"/>
    <s v="Water Bottle"/>
    <n v="2"/>
    <n v="950"/>
    <x v="3"/>
    <s v="Delivered"/>
    <n v="1900"/>
  </r>
  <r>
    <s v="ORD10281"/>
    <s v="CUST0313"/>
    <x v="75"/>
    <x v="2"/>
    <s v="Patna"/>
    <x v="0"/>
    <s v="Water Bottle"/>
    <n v="1"/>
    <n v="6900"/>
    <x v="3"/>
    <s v="Delivered"/>
    <n v="6900"/>
  </r>
  <r>
    <s v="ORD10282"/>
    <s v="CUST0193"/>
    <x v="172"/>
    <x v="1"/>
    <s v="Jaipur"/>
    <x v="4"/>
    <s v="Face Wash"/>
    <n v="1"/>
    <n v="1000"/>
    <x v="0"/>
    <s v="Cancelled"/>
    <n v="1000"/>
  </r>
  <r>
    <s v="ORD10283"/>
    <s v="CUST0305"/>
    <x v="202"/>
    <x v="1"/>
    <s v="Jaipur"/>
    <x v="1"/>
    <s v="Headphones"/>
    <n v="1"/>
    <n v="41650"/>
    <x v="0"/>
    <s v="Delivered"/>
    <n v="41650"/>
  </r>
  <r>
    <s v="ORD10284"/>
    <s v="CUST0325"/>
    <x v="124"/>
    <x v="2"/>
    <s v="Guwahati"/>
    <x v="3"/>
    <s v="Cricket Bat"/>
    <n v="1"/>
    <n v="9900"/>
    <x v="1"/>
    <s v="Delivered"/>
    <n v="9900"/>
  </r>
  <r>
    <s v="ORD10285"/>
    <s v="CUST0306"/>
    <x v="130"/>
    <x v="0"/>
    <s v="Bengaluru"/>
    <x v="2"/>
    <s v="Sneakers"/>
    <n v="1"/>
    <n v="700"/>
    <x v="2"/>
    <s v="Delivered"/>
    <n v="700"/>
  </r>
  <r>
    <s v="ORD10286"/>
    <s v="CUST0134"/>
    <x v="178"/>
    <x v="0"/>
    <s v="Hyderabad"/>
    <x v="4"/>
    <s v="Hair Dryer"/>
    <n v="1"/>
    <n v="4200"/>
    <x v="2"/>
    <s v="Delivered"/>
    <n v="4200"/>
  </r>
  <r>
    <s v="ORD10287"/>
    <s v="CUST0278"/>
    <x v="203"/>
    <x v="2"/>
    <s v="Kolkata"/>
    <x v="3"/>
    <s v="Yoga Mat"/>
    <n v="1"/>
    <n v="6250"/>
    <x v="0"/>
    <s v="Returned"/>
    <n v="6250"/>
  </r>
  <r>
    <s v="ORD10288"/>
    <s v="CUST0354"/>
    <x v="204"/>
    <x v="1"/>
    <s v="Jaipur"/>
    <x v="3"/>
    <s v="Yoga Mat"/>
    <n v="1"/>
    <n v="2100"/>
    <x v="3"/>
    <s v="Delivered"/>
    <n v="2100"/>
  </r>
  <r>
    <s v="ORD10289"/>
    <s v="CUST0092"/>
    <x v="18"/>
    <x v="1"/>
    <s v="Lucknow"/>
    <x v="1"/>
    <s v="Laptop"/>
    <n v="4"/>
    <n v="18100"/>
    <x v="2"/>
    <s v="Delivered"/>
    <n v="72400"/>
  </r>
  <r>
    <s v="ORD10290"/>
    <s v="CUST0214"/>
    <x v="205"/>
    <x v="3"/>
    <s v="Ahmedabad"/>
    <x v="3"/>
    <s v="Dumbbells"/>
    <n v="3"/>
    <n v="2450"/>
    <x v="1"/>
    <s v="Delivered"/>
    <n v="7350"/>
  </r>
  <r>
    <s v="ORD10291"/>
    <s v="CUST0064"/>
    <x v="206"/>
    <x v="0"/>
    <s v="Hyderabad"/>
    <x v="4"/>
    <s v="Moisturizer"/>
    <n v="3"/>
    <n v="900"/>
    <x v="1"/>
    <s v="Cancelled"/>
    <n v="2700"/>
  </r>
  <r>
    <s v="ORD10292"/>
    <s v="CUST0184"/>
    <x v="51"/>
    <x v="0"/>
    <s v="Chennai"/>
    <x v="3"/>
    <s v="Football"/>
    <n v="1"/>
    <n v="8750"/>
    <x v="1"/>
    <s v="Delivered"/>
    <n v="8750"/>
  </r>
  <r>
    <s v="ORD10293"/>
    <s v="CUST0070"/>
    <x v="162"/>
    <x v="2"/>
    <s v="Kolkata"/>
    <x v="0"/>
    <s v="Air Fryer"/>
    <n v="2"/>
    <n v="8550"/>
    <x v="0"/>
    <s v="Delivered"/>
    <n v="17100"/>
  </r>
  <r>
    <s v="ORD10294"/>
    <s v="CUST0179"/>
    <x v="99"/>
    <x v="0"/>
    <s v="Vijayawada"/>
    <x v="0"/>
    <s v="Water Bottle"/>
    <n v="2"/>
    <n v="4100"/>
    <x v="3"/>
    <s v="Delivered"/>
    <n v="8200"/>
  </r>
  <r>
    <s v="ORD10295"/>
    <s v="CUST0116"/>
    <x v="207"/>
    <x v="3"/>
    <s v="Ahmedabad"/>
    <x v="0"/>
    <s v="Water Bottle"/>
    <n v="4"/>
    <n v="5250"/>
    <x v="0"/>
    <s v="Delivered"/>
    <n v="21000"/>
  </r>
  <r>
    <s v="ORD10296"/>
    <s v="CUST0189"/>
    <x v="134"/>
    <x v="2"/>
    <s v="Patna"/>
    <x v="2"/>
    <s v="T-Shirt"/>
    <n v="1"/>
    <n v="2750"/>
    <x v="0"/>
    <s v="Returned"/>
    <n v="2750"/>
  </r>
  <r>
    <s v="ORD10297"/>
    <s v="CUST0277"/>
    <x v="208"/>
    <x v="1"/>
    <s v="Delhi"/>
    <x v="4"/>
    <s v="Shampoo"/>
    <n v="3"/>
    <n v="350"/>
    <x v="2"/>
    <s v="Delivered"/>
    <n v="1050"/>
  </r>
  <r>
    <s v="ORD10298"/>
    <s v="CUST0327"/>
    <x v="62"/>
    <x v="0"/>
    <s v="Hyderabad"/>
    <x v="4"/>
    <s v="Moisturizer"/>
    <n v="5"/>
    <n v="4000"/>
    <x v="0"/>
    <s v="Returned"/>
    <n v="20000"/>
  </r>
  <r>
    <s v="ORD10298"/>
    <s v="CUST0128"/>
    <x v="209"/>
    <x v="0"/>
    <s v="Hyderabad"/>
    <x v="1"/>
    <s v="Laptop"/>
    <n v="1"/>
    <n v="48300"/>
    <x v="1"/>
    <s v="Delivered"/>
    <n v="48300"/>
  </r>
  <r>
    <s v="ORD10300"/>
    <s v="CUST0414"/>
    <x v="210"/>
    <x v="3"/>
    <s v="Ahmedabad"/>
    <x v="4"/>
    <s v="Perfume"/>
    <n v="2"/>
    <n v="650"/>
    <x v="0"/>
    <s v="Delivered"/>
    <n v="1300"/>
  </r>
  <r>
    <s v="ORD10301"/>
    <s v="CUST0016"/>
    <x v="183"/>
    <x v="3"/>
    <s v="Mumbai"/>
    <x v="0"/>
    <s v="Water Bottle"/>
    <n v="1"/>
    <n v="8550"/>
    <x v="4"/>
    <s v="Delivered"/>
    <n v="8550"/>
  </r>
  <r>
    <s v="ORD10302"/>
    <s v="CUST0415"/>
    <x v="211"/>
    <x v="3"/>
    <s v="Surat"/>
    <x v="1"/>
    <s v="Smartphone"/>
    <n v="1"/>
    <n v="31450"/>
    <x v="1"/>
    <s v="Delivered"/>
    <n v="31450"/>
  </r>
  <r>
    <s v="ORD10303"/>
    <s v="CUST0021"/>
    <x v="96"/>
    <x v="0"/>
    <s v="Chennai"/>
    <x v="0"/>
    <s v="Water Bottle"/>
    <n v="1"/>
    <n v="4400"/>
    <x v="1"/>
    <s v="Returned"/>
    <n v="4400"/>
  </r>
  <r>
    <s v="ORD10304"/>
    <s v="CUST0054"/>
    <x v="11"/>
    <x v="0"/>
    <s v="Hyderabad"/>
    <x v="0"/>
    <s v="Mixer Grinder"/>
    <n v="3"/>
    <n v="6550"/>
    <x v="2"/>
    <s v="Shipped"/>
    <n v="19650"/>
  </r>
  <r>
    <s v="ORD10305"/>
    <s v="CUST0260"/>
    <x v="212"/>
    <x v="0"/>
    <s v="Vijayawada"/>
    <x v="2"/>
    <s v="Jeans"/>
    <n v="1"/>
    <n v="2200"/>
    <x v="0"/>
    <s v="Delivered"/>
    <n v="2200"/>
  </r>
  <r>
    <s v="ORD10306"/>
    <s v="CUST0204"/>
    <x v="90"/>
    <x v="1"/>
    <s v="Lucknow"/>
    <x v="3"/>
    <s v="Cricket Bat"/>
    <n v="1"/>
    <n v="3200"/>
    <x v="1"/>
    <s v="Delivered"/>
    <n v="3200"/>
  </r>
  <r>
    <s v="ORD10307"/>
    <s v="CUST0264"/>
    <x v="213"/>
    <x v="1"/>
    <s v="Jaipur"/>
    <x v="0"/>
    <s v="Mixer Grinder"/>
    <n v="2"/>
    <n v="6500"/>
    <x v="3"/>
    <s v="Delivered"/>
    <n v="13000"/>
  </r>
  <r>
    <s v="ORD10308"/>
    <s v="CUST0100"/>
    <x v="189"/>
    <x v="2"/>
    <s v="Kolkata"/>
    <x v="3"/>
    <s v="Dumbbells"/>
    <n v="1"/>
    <n v="3900"/>
    <x v="3"/>
    <s v="Delivered"/>
    <n v="3900"/>
  </r>
  <r>
    <s v="ORD10309"/>
    <s v="CUST0218"/>
    <x v="114"/>
    <x v="1"/>
    <s v="Jaipur"/>
    <x v="3"/>
    <s v="Dumbbells"/>
    <n v="4"/>
    <n v="4100"/>
    <x v="0"/>
    <s v="Delivered"/>
    <n v="16400"/>
  </r>
  <r>
    <s v="ORD10310"/>
    <s v="CUST0273"/>
    <x v="122"/>
    <x v="0"/>
    <s v="Hyderabad"/>
    <x v="2"/>
    <s v="Jeans"/>
    <n v="2"/>
    <n v="5800"/>
    <x v="4"/>
    <s v="Delivered"/>
    <n v="11600"/>
  </r>
  <r>
    <s v="ORD10311"/>
    <s v="CUST0028"/>
    <x v="132"/>
    <x v="1"/>
    <s v="Lucknow"/>
    <x v="0"/>
    <s v="Table Lamp"/>
    <n v="1"/>
    <n v="5900"/>
    <x v="2"/>
    <s v="Returned"/>
    <n v="5900"/>
  </r>
  <r>
    <s v="ORD10312"/>
    <s v="CUST0397"/>
    <x v="0"/>
    <x v="3"/>
    <s v="Ahmedabad"/>
    <x v="0"/>
    <s v="Air Fryer"/>
    <n v="1"/>
    <n v="3500"/>
    <x v="1"/>
    <s v="Delivered"/>
    <n v="3500"/>
  </r>
  <r>
    <s v="ORD10313"/>
    <s v="CUST0237"/>
    <x v="214"/>
    <x v="3"/>
    <s v="Ahmedabad"/>
    <x v="3"/>
    <s v="Yoga Mat"/>
    <n v="2"/>
    <n v="7450"/>
    <x v="1"/>
    <s v="Delivered"/>
    <n v="14900"/>
  </r>
  <r>
    <s v="ORD10314"/>
    <s v="CUST0065"/>
    <x v="171"/>
    <x v="3"/>
    <s v="Surat"/>
    <x v="0"/>
    <s v="Cookware Set"/>
    <n v="1"/>
    <n v="8800"/>
    <x v="1"/>
    <s v="Delivered"/>
    <n v="8800"/>
  </r>
  <r>
    <s v="ORD10315"/>
    <s v="CUST0074"/>
    <x v="100"/>
    <x v="0"/>
    <s v="Hyderabad"/>
    <x v="1"/>
    <s v="Monitor"/>
    <n v="3"/>
    <n v="53650"/>
    <x v="2"/>
    <s v="Delivered"/>
    <n v="160950"/>
  </r>
  <r>
    <s v="ORD10316"/>
    <s v="CUST0268"/>
    <x v="176"/>
    <x v="0"/>
    <s v="Vijayawada"/>
    <x v="1"/>
    <s v="Smartphone"/>
    <n v="1"/>
    <n v="61700"/>
    <x v="1"/>
    <s v="Delivered"/>
    <n v="61700"/>
  </r>
  <r>
    <s v="ORD10317"/>
    <s v="CUST0272"/>
    <x v="2"/>
    <x v="1"/>
    <s v="Chandigarh"/>
    <x v="1"/>
    <s v="Headphones"/>
    <n v="1"/>
    <n v="3400"/>
    <x v="1"/>
    <s v="Delivered"/>
    <n v="3400"/>
  </r>
  <r>
    <s v="ORD10318"/>
    <s v="CUST0421"/>
    <x v="215"/>
    <x v="2"/>
    <s v="Patna"/>
    <x v="1"/>
    <s v="Keyboard"/>
    <n v="1"/>
    <n v="37700"/>
    <x v="2"/>
    <s v="Delivered"/>
    <n v="37700"/>
  </r>
  <r>
    <s v="ORD10319"/>
    <s v="CUST0043"/>
    <x v="216"/>
    <x v="0"/>
    <s v="Chennai"/>
    <x v="0"/>
    <s v="Table Lamp"/>
    <n v="1"/>
    <n v="4800"/>
    <x v="2"/>
    <s v="Delivered"/>
    <n v="4800"/>
  </r>
  <r>
    <s v="ORD10320"/>
    <s v="CUST0059"/>
    <x v="141"/>
    <x v="0"/>
    <s v="Chennai"/>
    <x v="3"/>
    <s v="Football"/>
    <n v="2"/>
    <n v="8400"/>
    <x v="0"/>
    <s v="Delivered"/>
    <n v="16800"/>
  </r>
  <r>
    <s v="ORD10321"/>
    <s v="CUST0004"/>
    <x v="40"/>
    <x v="0"/>
    <s v="Bengaluru"/>
    <x v="3"/>
    <s v="Dumbbells"/>
    <n v="1"/>
    <n v="6250"/>
    <x v="0"/>
    <s v="Delivered"/>
    <n v="6250"/>
  </r>
  <r>
    <s v="ORD10322"/>
    <s v="CUST0059"/>
    <x v="40"/>
    <x v="1"/>
    <s v="Chandigarh"/>
    <x v="3"/>
    <s v="Dumbbells"/>
    <n v="4"/>
    <n v="5650"/>
    <x v="0"/>
    <s v="Delivered"/>
    <n v="22600"/>
  </r>
  <r>
    <s v="ORD10323"/>
    <s v="CUST0360"/>
    <x v="203"/>
    <x v="2"/>
    <s v="Kolkata"/>
    <x v="1"/>
    <s v="Smartphone"/>
    <n v="2"/>
    <n v="50950"/>
    <x v="0"/>
    <s v="Shipped"/>
    <n v="101900"/>
  </r>
  <r>
    <s v="ORD10324"/>
    <s v="CUST0047"/>
    <x v="170"/>
    <x v="3"/>
    <s v="Mumbai"/>
    <x v="0"/>
    <s v="Cookware Set"/>
    <n v="4"/>
    <n v="3250"/>
    <x v="0"/>
    <s v="Delivered"/>
    <n v="13000"/>
  </r>
  <r>
    <s v="ORD10325"/>
    <s v="CUST0434"/>
    <x v="217"/>
    <x v="3"/>
    <s v="Pune"/>
    <x v="4"/>
    <s v="Shampoo"/>
    <n v="2"/>
    <n v="250"/>
    <x v="2"/>
    <s v="Delivered"/>
    <n v="500"/>
  </r>
  <r>
    <s v="ORD10326"/>
    <s v="CUST0202"/>
    <x v="110"/>
    <x v="2"/>
    <s v="Bhubaneswar"/>
    <x v="1"/>
    <s v="Headphones"/>
    <n v="1"/>
    <n v="5600"/>
    <x v="3"/>
    <s v="Delivered"/>
    <n v="5600"/>
  </r>
  <r>
    <s v="ORD10327"/>
    <s v="CUST0331"/>
    <x v="218"/>
    <x v="0"/>
    <s v="Hyderabad"/>
    <x v="0"/>
    <s v="Water Bottle"/>
    <n v="3"/>
    <n v="4450"/>
    <x v="1"/>
    <s v="Delivered"/>
    <n v="13350"/>
  </r>
  <r>
    <s v="ORD10328"/>
    <s v="CUST0090"/>
    <x v="129"/>
    <x v="3"/>
    <s v="Mumbai"/>
    <x v="2"/>
    <s v="Backpack"/>
    <n v="4"/>
    <n v="1900"/>
    <x v="4"/>
    <s v="Delivered"/>
    <n v="7600"/>
  </r>
  <r>
    <s v="ORD10329"/>
    <s v="CUST0371"/>
    <x v="121"/>
    <x v="2"/>
    <s v="Patna"/>
    <x v="1"/>
    <s v="Laptop"/>
    <n v="2"/>
    <n v="5400"/>
    <x v="4"/>
    <s v="Delivered"/>
    <n v="10800"/>
  </r>
  <r>
    <s v="ORD10330"/>
    <s v="CUST0008"/>
    <x v="219"/>
    <x v="3"/>
    <s v="Ahmedabad"/>
    <x v="3"/>
    <s v="Cricket Bat"/>
    <n v="5"/>
    <n v="5450"/>
    <x v="1"/>
    <s v="Delivered"/>
    <n v="27250"/>
  </r>
  <r>
    <s v="ORD10331"/>
    <s v="CUST0137"/>
    <x v="220"/>
    <x v="1"/>
    <s v="Delhi"/>
    <x v="0"/>
    <s v="Mixer Grinder"/>
    <n v="2"/>
    <n v="1650"/>
    <x v="1"/>
    <s v="Delivered"/>
    <n v="3300"/>
  </r>
  <r>
    <s v="ORD10332"/>
    <s v="CUST0055"/>
    <x v="206"/>
    <x v="2"/>
    <s v="Bhubaneswar"/>
    <x v="4"/>
    <s v="Perfume"/>
    <n v="1"/>
    <n v="4050"/>
    <x v="3"/>
    <s v="Delivered"/>
    <n v="4050"/>
  </r>
  <r>
    <s v="ORD10333"/>
    <s v="CUST0247"/>
    <x v="221"/>
    <x v="0"/>
    <s v="Chennai"/>
    <x v="1"/>
    <s v="Monitor"/>
    <n v="1"/>
    <n v="58250"/>
    <x v="3"/>
    <s v="Delivered"/>
    <n v="58250"/>
  </r>
  <r>
    <s v="ORD10334"/>
    <s v="CUST0099"/>
    <x v="16"/>
    <x v="0"/>
    <s v="Hyderabad"/>
    <x v="3"/>
    <s v="Yoga Mat"/>
    <n v="2"/>
    <n v="5050"/>
    <x v="0"/>
    <s v="Delivered"/>
    <n v="10100"/>
  </r>
  <r>
    <s v="ORD10335"/>
    <s v="CUST0449"/>
    <x v="186"/>
    <x v="0"/>
    <s v="Bengaluru"/>
    <x v="0"/>
    <s v="Air Fryer"/>
    <n v="1"/>
    <n v="8950"/>
    <x v="2"/>
    <s v="Delivered"/>
    <n v="8950"/>
  </r>
  <r>
    <s v="ORD10336"/>
    <s v="CUST0193"/>
    <x v="222"/>
    <x v="2"/>
    <s v="Guwahati"/>
    <x v="3"/>
    <s v="Cricket Bat"/>
    <n v="3"/>
    <n v="750"/>
    <x v="1"/>
    <s v="Delivered"/>
    <n v="2250"/>
  </r>
  <r>
    <s v="ORD10337"/>
    <s v="CUST0282"/>
    <x v="204"/>
    <x v="0"/>
    <s v="Vijayawada"/>
    <x v="3"/>
    <s v="Dumbbells"/>
    <n v="1"/>
    <n v="6050"/>
    <x v="2"/>
    <s v="Delivered"/>
    <n v="6050"/>
  </r>
  <r>
    <s v="ORD10338"/>
    <s v="CUST0109"/>
    <x v="169"/>
    <x v="2"/>
    <s v="Kolkata"/>
    <x v="0"/>
    <s v="Air Fryer"/>
    <n v="3"/>
    <n v="6950"/>
    <x v="3"/>
    <s v="Delivered"/>
    <n v="20850"/>
  </r>
  <r>
    <s v="ORD10339"/>
    <s v="CUST0421"/>
    <x v="23"/>
    <x v="3"/>
    <s v="Pune"/>
    <x v="1"/>
    <s v="Monitor"/>
    <n v="1"/>
    <n v="14000"/>
    <x v="0"/>
    <s v="Cancelled"/>
    <n v="14000"/>
  </r>
  <r>
    <s v="ORD10340"/>
    <s v="CUST0290"/>
    <x v="157"/>
    <x v="2"/>
    <s v="Kolkata"/>
    <x v="1"/>
    <s v="Monitor"/>
    <n v="3"/>
    <n v="47450"/>
    <x v="0"/>
    <s v="Shipped"/>
    <n v="142350"/>
  </r>
  <r>
    <s v="ORD10341"/>
    <s v="CUST0326"/>
    <x v="223"/>
    <x v="0"/>
    <s v="Bengaluru"/>
    <x v="0"/>
    <s v="Table Lamp"/>
    <n v="2"/>
    <n v="5050"/>
    <x v="2"/>
    <s v="Delivered"/>
    <n v="10100"/>
  </r>
  <r>
    <s v="ORD10342"/>
    <s v="CUST0420"/>
    <x v="151"/>
    <x v="0"/>
    <s v="Chennai"/>
    <x v="4"/>
    <s v="Hair Dryer"/>
    <n v="1"/>
    <n v="4450"/>
    <x v="0"/>
    <s v="Delivered"/>
    <n v="4450"/>
  </r>
  <r>
    <s v="ORD10343"/>
    <s v="CUST0185"/>
    <x v="172"/>
    <x v="1"/>
    <s v="Jaipur"/>
    <x v="0"/>
    <s v="Table Lamp"/>
    <n v="3"/>
    <n v="8100"/>
    <x v="0"/>
    <s v="Delivered"/>
    <n v="24300"/>
  </r>
  <r>
    <s v="ORD10344"/>
    <s v="CUST0443"/>
    <x v="214"/>
    <x v="1"/>
    <s v="Chandigarh"/>
    <x v="4"/>
    <s v="Hair Dryer"/>
    <n v="1"/>
    <n v="3350"/>
    <x v="2"/>
    <s v="Delivered"/>
    <n v="3350"/>
  </r>
  <r>
    <s v="ORD10345"/>
    <s v="CUST0153"/>
    <x v="224"/>
    <x v="0"/>
    <s v="Vijayawada"/>
    <x v="4"/>
    <s v="Face Wash"/>
    <n v="1"/>
    <n v="400"/>
    <x v="1"/>
    <s v="Delivered"/>
    <n v="400"/>
  </r>
  <r>
    <s v="ORD10346"/>
    <s v="CUST0271"/>
    <x v="15"/>
    <x v="1"/>
    <s v="Delhi"/>
    <x v="4"/>
    <s v="Face Wash"/>
    <n v="5"/>
    <n v="1050"/>
    <x v="2"/>
    <s v="Delivered"/>
    <n v="5250"/>
  </r>
  <r>
    <s v="ORD10347"/>
    <s v="CUST0073"/>
    <x v="225"/>
    <x v="0"/>
    <s v="Bengaluru"/>
    <x v="1"/>
    <s v="Laptop"/>
    <n v="3"/>
    <n v="47550"/>
    <x v="0"/>
    <s v="Shipped"/>
    <n v="142650"/>
  </r>
  <r>
    <s v="ORD10348"/>
    <s v="CUST0192"/>
    <x v="226"/>
    <x v="2"/>
    <s v="Patna"/>
    <x v="1"/>
    <s v="Keyboard"/>
    <n v="3"/>
    <n v="8350"/>
    <x v="1"/>
    <s v="Delivered"/>
    <n v="25050"/>
  </r>
  <r>
    <s v="ORD10349"/>
    <s v="CUST0419"/>
    <x v="227"/>
    <x v="0"/>
    <s v="Vijayawada"/>
    <x v="0"/>
    <s v="Air Fryer"/>
    <n v="4"/>
    <n v="3650"/>
    <x v="0"/>
    <s v="Shipped"/>
    <n v="14600"/>
  </r>
  <r>
    <s v="ORD10350"/>
    <s v="CUST0168"/>
    <x v="228"/>
    <x v="1"/>
    <s v="Chandigarh"/>
    <x v="4"/>
    <s v="Shampoo"/>
    <n v="2"/>
    <n v="2900"/>
    <x v="1"/>
    <s v="Delivered"/>
    <n v="5800"/>
  </r>
  <r>
    <s v="ORD10351"/>
    <s v="CUST0080"/>
    <x v="161"/>
    <x v="3"/>
    <s v="Pune"/>
    <x v="0"/>
    <s v="Table Lamp"/>
    <n v="4"/>
    <n v="1300"/>
    <x v="1"/>
    <s v="Returned"/>
    <n v="5200"/>
  </r>
  <r>
    <s v="ORD10352"/>
    <s v="CUST0007"/>
    <x v="44"/>
    <x v="3"/>
    <s v="Surat"/>
    <x v="3"/>
    <s v="Running Shoes"/>
    <n v="3"/>
    <n v="3250"/>
    <x v="1"/>
    <s v="Shipped"/>
    <n v="9750"/>
  </r>
  <r>
    <s v="ORD10353"/>
    <s v="CUST0113"/>
    <x v="52"/>
    <x v="2"/>
    <s v="Patna"/>
    <x v="2"/>
    <s v="Sneakers"/>
    <n v="1"/>
    <n v="7300"/>
    <x v="1"/>
    <s v="Delivered"/>
    <n v="7300"/>
  </r>
  <r>
    <s v="ORD10354"/>
    <s v="CUST0118"/>
    <x v="181"/>
    <x v="0"/>
    <s v="Vijayawada"/>
    <x v="0"/>
    <s v="Water Bottle"/>
    <n v="1"/>
    <n v="5700"/>
    <x v="1"/>
    <s v="Delivered"/>
    <n v="5700"/>
  </r>
  <r>
    <s v="ORD10355"/>
    <s v="CUST0289"/>
    <x v="225"/>
    <x v="1"/>
    <s v="Lucknow"/>
    <x v="0"/>
    <s v="Air Fryer"/>
    <n v="1"/>
    <n v="6200"/>
    <x v="0"/>
    <s v="Delivered"/>
    <n v="6200"/>
  </r>
  <r>
    <s v="ORD10356"/>
    <s v="CUST0057"/>
    <x v="5"/>
    <x v="3"/>
    <s v="Mumbai"/>
    <x v="4"/>
    <s v="Moisturizer"/>
    <n v="1"/>
    <n v="700"/>
    <x v="0"/>
    <s v="Delivered"/>
    <n v="700"/>
  </r>
  <r>
    <s v="ORD10357"/>
    <s v="CUST0425"/>
    <x v="99"/>
    <x v="0"/>
    <s v="Bengaluru"/>
    <x v="0"/>
    <s v="Air Fryer"/>
    <n v="5"/>
    <n v="5050"/>
    <x v="2"/>
    <s v="Delivered"/>
    <n v="25250"/>
  </r>
  <r>
    <s v="ORD10358"/>
    <s v="CUST0022"/>
    <x v="102"/>
    <x v="3"/>
    <s v="Pune"/>
    <x v="2"/>
    <s v="Sneakers"/>
    <n v="1"/>
    <n v="4050"/>
    <x v="0"/>
    <s v="Delivered"/>
    <n v="4050"/>
  </r>
  <r>
    <s v="ORD10359"/>
    <s v="CUST0367"/>
    <x v="229"/>
    <x v="0"/>
    <s v="Bengaluru"/>
    <x v="2"/>
    <s v="Sneakers"/>
    <n v="1"/>
    <n v="900"/>
    <x v="5"/>
    <s v="Delivered"/>
    <n v="900"/>
  </r>
  <r>
    <s v="ORD10360"/>
    <s v="CUST0233"/>
    <x v="0"/>
    <x v="3"/>
    <s v="Pune"/>
    <x v="1"/>
    <s v="Smartphone"/>
    <n v="2"/>
    <n v="16850"/>
    <x v="1"/>
    <s v="Delivered"/>
    <n v="33700"/>
  </r>
  <r>
    <s v="ORD10361"/>
    <s v="CUST0435"/>
    <x v="9"/>
    <x v="2"/>
    <s v="Kolkata"/>
    <x v="1"/>
    <s v="Smartphone"/>
    <n v="1"/>
    <n v="8250"/>
    <x v="1"/>
    <s v="Delivered"/>
    <n v="8250"/>
  </r>
  <r>
    <s v="ORD10362"/>
    <s v="CUST0137"/>
    <x v="144"/>
    <x v="3"/>
    <s v="Mumbai"/>
    <x v="1"/>
    <s v="Keyboard"/>
    <n v="2"/>
    <n v="3950"/>
    <x v="2"/>
    <s v="Cancelled"/>
    <n v="7900"/>
  </r>
  <r>
    <s v="ORD10363"/>
    <s v="CUST0330"/>
    <x v="47"/>
    <x v="1"/>
    <s v="Delhi"/>
    <x v="3"/>
    <s v="Cricket Bat"/>
    <n v="2"/>
    <n v="6350"/>
    <x v="0"/>
    <s v="Delivered"/>
    <n v="12700"/>
  </r>
  <r>
    <s v="ORD10364"/>
    <s v="CUST0073"/>
    <x v="230"/>
    <x v="2"/>
    <s v="Kolkata"/>
    <x v="0"/>
    <s v="Water Bottle"/>
    <n v="1"/>
    <n v="8250"/>
    <x v="0"/>
    <s v="Delivered"/>
    <n v="8250"/>
  </r>
  <r>
    <s v="ORD10365"/>
    <s v="CUST0111"/>
    <x v="172"/>
    <x v="3"/>
    <s v="Pune"/>
    <x v="1"/>
    <s v="Monitor"/>
    <n v="1"/>
    <n v="45750"/>
    <x v="1"/>
    <s v="Shipped"/>
    <n v="45750"/>
  </r>
  <r>
    <s v="ORD10366"/>
    <s v="CUST0318"/>
    <x v="1"/>
    <x v="0"/>
    <s v="Hyderabad"/>
    <x v="1"/>
    <s v="Laptop"/>
    <n v="4"/>
    <n v="5650"/>
    <x v="0"/>
    <s v="Delivered"/>
    <n v="22600"/>
  </r>
  <r>
    <s v="ORD10367"/>
    <s v="CUST0077"/>
    <x v="163"/>
    <x v="0"/>
    <s v="Chennai"/>
    <x v="2"/>
    <s v="Jeans"/>
    <n v="3"/>
    <n v="6750"/>
    <x v="3"/>
    <s v="Cancelled"/>
    <n v="20250"/>
  </r>
  <r>
    <s v="ORD10368"/>
    <s v="CUST0390"/>
    <x v="231"/>
    <x v="0"/>
    <s v="Chennai"/>
    <x v="0"/>
    <s v="Mixer Grinder"/>
    <n v="1"/>
    <n v="4800"/>
    <x v="2"/>
    <s v="Cancelled"/>
    <n v="4800"/>
  </r>
  <r>
    <s v="ORD10369"/>
    <s v="CUST0445"/>
    <x v="232"/>
    <x v="2"/>
    <s v="Kolkata"/>
    <x v="2"/>
    <s v="T-Shirt"/>
    <n v="2"/>
    <n v="7200"/>
    <x v="1"/>
    <s v="Delivered"/>
    <n v="14400"/>
  </r>
  <r>
    <s v="ORD10370"/>
    <s v="CUST0354"/>
    <x v="56"/>
    <x v="2"/>
    <s v="Guwahati"/>
    <x v="1"/>
    <s v="Keyboard"/>
    <n v="2"/>
    <n v="29150"/>
    <x v="4"/>
    <s v="Delivered"/>
    <n v="58300"/>
  </r>
  <r>
    <s v="ORD10371"/>
    <s v="CUST0324"/>
    <x v="233"/>
    <x v="3"/>
    <s v="Mumbai"/>
    <x v="0"/>
    <s v="Water Bottle"/>
    <n v="2"/>
    <n v="2900"/>
    <x v="0"/>
    <s v="Delivered"/>
    <n v="5800"/>
  </r>
  <r>
    <s v="ORD10372"/>
    <s v="CUST0202"/>
    <x v="59"/>
    <x v="1"/>
    <s v="Jaipur"/>
    <x v="0"/>
    <s v="Water Bottle"/>
    <n v="4"/>
    <n v="3850"/>
    <x v="0"/>
    <s v="Delivered"/>
    <n v="15400"/>
  </r>
  <r>
    <s v="ORD10373"/>
    <s v="CUST0283"/>
    <x v="101"/>
    <x v="3"/>
    <s v="Surat"/>
    <x v="2"/>
    <s v="Sneakers"/>
    <n v="3"/>
    <n v="3800"/>
    <x v="0"/>
    <s v="Cancelled"/>
    <n v="11400"/>
  </r>
  <r>
    <s v="ORD10374"/>
    <s v="CUST0055"/>
    <x v="219"/>
    <x v="0"/>
    <s v="Chennai"/>
    <x v="2"/>
    <s v="T-Shirt"/>
    <n v="3"/>
    <n v="1000"/>
    <x v="3"/>
    <s v="Delivered"/>
    <n v="3000"/>
  </r>
  <r>
    <s v="ORD10375"/>
    <s v="CUST0109"/>
    <x v="4"/>
    <x v="0"/>
    <s v="Bengaluru"/>
    <x v="4"/>
    <s v="Shampoo"/>
    <n v="3"/>
    <n v="4700"/>
    <x v="0"/>
    <s v="Delivered"/>
    <n v="14100"/>
  </r>
  <r>
    <s v="ORD10376"/>
    <s v="CUST0383"/>
    <x v="182"/>
    <x v="2"/>
    <s v="Bhubaneswar"/>
    <x v="0"/>
    <s v="Mixer Grinder"/>
    <n v="1"/>
    <n v="8000"/>
    <x v="2"/>
    <s v="Delivered"/>
    <n v="8000"/>
  </r>
  <r>
    <s v="ORD10377"/>
    <s v="CUST0104"/>
    <x v="234"/>
    <x v="1"/>
    <s v="Chandigarh"/>
    <x v="0"/>
    <s v="Table Lamp"/>
    <n v="1"/>
    <n v="6300"/>
    <x v="0"/>
    <s v="Delivered"/>
    <n v="6300"/>
  </r>
  <r>
    <s v="ORD10378"/>
    <s v="CUST0122"/>
    <x v="235"/>
    <x v="1"/>
    <s v="Jaipur"/>
    <x v="4"/>
    <s v="Perfume"/>
    <n v="1"/>
    <n v="2800"/>
    <x v="2"/>
    <s v="Delivered"/>
    <n v="2800"/>
  </r>
  <r>
    <s v="ORD10379"/>
    <s v="CUST0127"/>
    <x v="236"/>
    <x v="0"/>
    <s v="Hyderabad"/>
    <x v="2"/>
    <s v="Sneakers"/>
    <n v="1"/>
    <n v="2000"/>
    <x v="0"/>
    <s v="Delivered"/>
    <n v="2000"/>
  </r>
  <r>
    <s v="ORD10380"/>
    <s v="CUST0330"/>
    <x v="2"/>
    <x v="1"/>
    <s v="Lucknow"/>
    <x v="0"/>
    <s v="Cookware Set"/>
    <n v="1"/>
    <n v="5100"/>
    <x v="2"/>
    <s v="Delivered"/>
    <n v="5100"/>
  </r>
  <r>
    <s v="ORD10381"/>
    <s v="CUST0048"/>
    <x v="108"/>
    <x v="1"/>
    <s v="Lucknow"/>
    <x v="4"/>
    <s v="Hair Dryer"/>
    <n v="2"/>
    <n v="2800"/>
    <x v="0"/>
    <s v="Cancelled"/>
    <n v="5600"/>
  </r>
  <r>
    <s v="ORD10382"/>
    <s v="CUST0007"/>
    <x v="1"/>
    <x v="1"/>
    <s v="Chandigarh"/>
    <x v="1"/>
    <s v="Headphones"/>
    <n v="1"/>
    <n v="45200"/>
    <x v="2"/>
    <s v="Cancelled"/>
    <n v="45200"/>
  </r>
  <r>
    <s v="ORD10383"/>
    <s v="CUST0117"/>
    <x v="82"/>
    <x v="3"/>
    <s v="Pune"/>
    <x v="2"/>
    <s v="Watch"/>
    <n v="1"/>
    <n v="6400"/>
    <x v="2"/>
    <s v="Delivered"/>
    <n v="6400"/>
  </r>
  <r>
    <s v="ORD10384"/>
    <s v="CUST0364"/>
    <x v="75"/>
    <x v="3"/>
    <s v="Mumbai"/>
    <x v="1"/>
    <s v="Laptop"/>
    <n v="3"/>
    <n v="35150"/>
    <x v="3"/>
    <s v="Shipped"/>
    <n v="105450"/>
  </r>
  <r>
    <s v="ORD10385"/>
    <s v="CUST0057"/>
    <x v="237"/>
    <x v="0"/>
    <s v="Bengaluru"/>
    <x v="4"/>
    <s v="Hair Dryer"/>
    <n v="2"/>
    <n v="2150"/>
    <x v="0"/>
    <s v="Delivered"/>
    <n v="4300"/>
  </r>
  <r>
    <s v="ORD10386"/>
    <s v="CUST0116"/>
    <x v="238"/>
    <x v="0"/>
    <s v="Bengaluru"/>
    <x v="1"/>
    <s v="Smartphone"/>
    <n v="1"/>
    <n v="31500"/>
    <x v="1"/>
    <s v="Shipped"/>
    <n v="31500"/>
  </r>
  <r>
    <s v="ORD10387"/>
    <s v="CUST0323"/>
    <x v="228"/>
    <x v="0"/>
    <s v="Hyderabad"/>
    <x v="3"/>
    <s v="Cricket Bat"/>
    <n v="1"/>
    <n v="9900"/>
    <x v="4"/>
    <s v="Delivered"/>
    <n v="9900"/>
  </r>
  <r>
    <s v="ORD10388"/>
    <s v="CUST0347"/>
    <x v="200"/>
    <x v="3"/>
    <s v="Surat"/>
    <x v="1"/>
    <s v="Monitor"/>
    <n v="2"/>
    <n v="30550"/>
    <x v="1"/>
    <s v="Delivered"/>
    <n v="61100"/>
  </r>
  <r>
    <s v="ORD10389"/>
    <s v="CUST0136"/>
    <x v="209"/>
    <x v="0"/>
    <s v="Chennai"/>
    <x v="3"/>
    <s v="Yoga Mat"/>
    <n v="3"/>
    <n v="8150"/>
    <x v="2"/>
    <s v="Delivered"/>
    <n v="24450"/>
  </r>
  <r>
    <s v="ORD10390"/>
    <s v="CUST0192"/>
    <x v="50"/>
    <x v="1"/>
    <s v="Jaipur"/>
    <x v="2"/>
    <s v="Watch"/>
    <n v="2"/>
    <n v="6500"/>
    <x v="0"/>
    <s v="Delivered"/>
    <n v="13000"/>
  </r>
  <r>
    <s v="ORD10391"/>
    <s v="CUST0277"/>
    <x v="239"/>
    <x v="0"/>
    <s v="Vijayawada"/>
    <x v="4"/>
    <s v="Perfume"/>
    <n v="1"/>
    <n v="2100"/>
    <x v="0"/>
    <s v="Delivered"/>
    <n v="2100"/>
  </r>
  <r>
    <s v="ORD10392"/>
    <s v="CUST0016"/>
    <x v="137"/>
    <x v="1"/>
    <s v="Jaipur"/>
    <x v="4"/>
    <s v="Shampoo"/>
    <n v="1"/>
    <n v="3850"/>
    <x v="2"/>
    <s v="Delivered"/>
    <n v="3850"/>
  </r>
  <r>
    <s v="ORD10393"/>
    <s v="CUST0336"/>
    <x v="240"/>
    <x v="0"/>
    <s v="Chennai"/>
    <x v="2"/>
    <s v="T-Shirt"/>
    <n v="3"/>
    <n v="6950"/>
    <x v="1"/>
    <s v="Delivered"/>
    <n v="20850"/>
  </r>
  <r>
    <s v="ORD10394"/>
    <s v="CUST0239"/>
    <x v="23"/>
    <x v="1"/>
    <s v="Jaipur"/>
    <x v="2"/>
    <s v="Jeans"/>
    <n v="4"/>
    <n v="3850"/>
    <x v="2"/>
    <s v="Delivered"/>
    <n v="15400"/>
  </r>
  <r>
    <s v="ORD10395"/>
    <s v="CUST0391"/>
    <x v="222"/>
    <x v="0"/>
    <s v="Hyderabad"/>
    <x v="3"/>
    <s v="Dumbbells"/>
    <n v="1"/>
    <n v="8350"/>
    <x v="0"/>
    <s v="Delivered"/>
    <n v="8350"/>
  </r>
  <r>
    <s v="ORD10396"/>
    <s v="CUST0340"/>
    <x v="208"/>
    <x v="3"/>
    <s v="Surat"/>
    <x v="1"/>
    <s v="Headphones"/>
    <n v="5"/>
    <n v="30400"/>
    <x v="1"/>
    <s v="Delivered"/>
    <n v="152000"/>
  </r>
  <r>
    <s v="ORD10397"/>
    <s v="CUST0120"/>
    <x v="110"/>
    <x v="1"/>
    <s v="Jaipur"/>
    <x v="1"/>
    <s v="Laptop"/>
    <n v="3"/>
    <n v="2850"/>
    <x v="0"/>
    <s v="Delivered"/>
    <n v="8550"/>
  </r>
  <r>
    <s v="ORD10398"/>
    <s v="CUST0402"/>
    <x v="116"/>
    <x v="2"/>
    <s v="Patna"/>
    <x v="2"/>
    <s v="T-Shirt"/>
    <n v="2"/>
    <n v="4300"/>
    <x v="2"/>
    <s v="Delivered"/>
    <n v="8600"/>
  </r>
  <r>
    <s v="ORD10399"/>
    <s v="CUST0091"/>
    <x v="241"/>
    <x v="1"/>
    <s v="Chandigarh"/>
    <x v="4"/>
    <s v="Face Wash"/>
    <n v="3"/>
    <n v="4850"/>
    <x v="3"/>
    <s v="Cancelled"/>
    <n v="14550"/>
  </r>
  <r>
    <s v="ORD10400"/>
    <s v="CUST0187"/>
    <x v="25"/>
    <x v="1"/>
    <s v="Lucknow"/>
    <x v="3"/>
    <s v="Dumbbells"/>
    <n v="1"/>
    <n v="900"/>
    <x v="0"/>
    <s v="Delivered"/>
    <n v="900"/>
  </r>
  <r>
    <s v="ORD10401"/>
    <s v="CUST0208"/>
    <x v="242"/>
    <x v="3"/>
    <s v="Surat"/>
    <x v="0"/>
    <s v="Air Fryer"/>
    <n v="3"/>
    <n v="600"/>
    <x v="1"/>
    <s v="Delivered"/>
    <n v="1800"/>
  </r>
  <r>
    <s v="ORD10402"/>
    <s v="CUST0427"/>
    <x v="198"/>
    <x v="1"/>
    <s v="Chandigarh"/>
    <x v="3"/>
    <s v="Cricket Bat"/>
    <n v="2"/>
    <n v="9900"/>
    <x v="2"/>
    <s v="Delivered"/>
    <n v="19800"/>
  </r>
  <r>
    <s v="ORD10403"/>
    <s v="CUST0051"/>
    <x v="164"/>
    <x v="2"/>
    <s v="Patna"/>
    <x v="1"/>
    <s v="Monitor"/>
    <n v="1"/>
    <n v="60450"/>
    <x v="2"/>
    <s v="Delivered"/>
    <n v="60450"/>
  </r>
  <r>
    <s v="ORD10404"/>
    <s v="CUST0402"/>
    <x v="221"/>
    <x v="2"/>
    <s v="Bhubaneswar"/>
    <x v="3"/>
    <s v="Running Shoes"/>
    <n v="2"/>
    <n v="7300"/>
    <x v="0"/>
    <s v="Delivered"/>
    <n v="14600"/>
  </r>
  <r>
    <s v="ORD10405"/>
    <s v="CUST0182"/>
    <x v="228"/>
    <x v="0"/>
    <s v="Chennai"/>
    <x v="2"/>
    <s v="Jeans"/>
    <n v="2"/>
    <n v="1650"/>
    <x v="1"/>
    <s v="Delivered"/>
    <n v="3300"/>
  </r>
  <r>
    <s v="ORD10406"/>
    <s v="CUST0142"/>
    <x v="180"/>
    <x v="1"/>
    <s v="Chandigarh"/>
    <x v="4"/>
    <s v="Perfume"/>
    <n v="1"/>
    <n v="3600"/>
    <x v="1"/>
    <s v="Shipped"/>
    <n v="3600"/>
  </r>
  <r>
    <s v="ORD10407"/>
    <s v="CUST0090"/>
    <x v="74"/>
    <x v="3"/>
    <s v="Surat"/>
    <x v="1"/>
    <s v="Monitor"/>
    <n v="2"/>
    <n v="29950"/>
    <x v="3"/>
    <s v="Delivered"/>
    <n v="59900"/>
  </r>
  <r>
    <s v="ORD10408"/>
    <s v="CUST0299"/>
    <x v="30"/>
    <x v="1"/>
    <s v="Jaipur"/>
    <x v="3"/>
    <s v="Cricket Bat"/>
    <n v="1"/>
    <n v="6600"/>
    <x v="1"/>
    <s v="Delivered"/>
    <n v="6600"/>
  </r>
  <r>
    <s v="ORD10409"/>
    <s v="CUST0235"/>
    <x v="120"/>
    <x v="1"/>
    <s v="Jaipur"/>
    <x v="4"/>
    <s v="Hair Dryer"/>
    <n v="2"/>
    <n v="4600"/>
    <x v="0"/>
    <s v="Delivered"/>
    <n v="9200"/>
  </r>
  <r>
    <s v="ORD10410"/>
    <s v="CUST0179"/>
    <x v="243"/>
    <x v="2"/>
    <s v="Guwahati"/>
    <x v="2"/>
    <s v="Sneakers"/>
    <n v="3"/>
    <n v="3250"/>
    <x v="3"/>
    <s v="Delivered"/>
    <n v="9750"/>
  </r>
  <r>
    <s v="ORD10411"/>
    <s v="CUST0380"/>
    <x v="244"/>
    <x v="3"/>
    <s v="Ahmedabad"/>
    <x v="1"/>
    <s v="Laptop"/>
    <n v="4"/>
    <n v="40500"/>
    <x v="1"/>
    <s v="Delivered"/>
    <n v="162000"/>
  </r>
  <r>
    <s v="ORD10412"/>
    <s v="CUST0071"/>
    <x v="245"/>
    <x v="3"/>
    <s v="Surat"/>
    <x v="0"/>
    <s v="Cookware Set"/>
    <n v="1"/>
    <n v="8050"/>
    <x v="2"/>
    <s v="Shipped"/>
    <n v="8050"/>
  </r>
  <r>
    <s v="ORD10413"/>
    <s v="CUST0293"/>
    <x v="246"/>
    <x v="1"/>
    <s v="Jaipur"/>
    <x v="1"/>
    <s v="Monitor"/>
    <n v="1"/>
    <n v="61300"/>
    <x v="2"/>
    <s v="Delivered"/>
    <n v="61300"/>
  </r>
  <r>
    <s v="ORD10414"/>
    <s v="CUST0138"/>
    <x v="48"/>
    <x v="0"/>
    <s v="Vijayawada"/>
    <x v="1"/>
    <s v="Keyboard"/>
    <n v="2"/>
    <n v="14050"/>
    <x v="0"/>
    <s v="Delivered"/>
    <n v="28100"/>
  </r>
  <r>
    <s v="ORD10415"/>
    <s v="CUST0166"/>
    <x v="124"/>
    <x v="3"/>
    <s v="Surat"/>
    <x v="0"/>
    <s v="Cookware Set"/>
    <n v="1"/>
    <n v="8800"/>
    <x v="3"/>
    <s v="Delivered"/>
    <n v="8800"/>
  </r>
  <r>
    <s v="ORD10416"/>
    <s v="CUST0424"/>
    <x v="20"/>
    <x v="2"/>
    <s v="Patna"/>
    <x v="1"/>
    <s v="Smartphone"/>
    <n v="3"/>
    <n v="36950"/>
    <x v="0"/>
    <s v="Delivered"/>
    <n v="110850"/>
  </r>
  <r>
    <s v="ORD10417"/>
    <s v="CUST0313"/>
    <x v="247"/>
    <x v="0"/>
    <s v="Vijayawada"/>
    <x v="1"/>
    <s v="Monitor"/>
    <n v="1"/>
    <n v="32050"/>
    <x v="2"/>
    <s v="Delivered"/>
    <n v="32050"/>
  </r>
  <r>
    <s v="ORD10418"/>
    <s v="CUST0106"/>
    <x v="248"/>
    <x v="1"/>
    <s v="Delhi"/>
    <x v="0"/>
    <s v="Air Fryer"/>
    <n v="2"/>
    <n v="3300"/>
    <x v="4"/>
    <s v="Delivered"/>
    <n v="6600"/>
  </r>
  <r>
    <s v="ORD10419"/>
    <s v="CUST0201"/>
    <x v="129"/>
    <x v="2"/>
    <s v="Kolkata"/>
    <x v="1"/>
    <s v="Headphones"/>
    <n v="1"/>
    <n v="61150"/>
    <x v="2"/>
    <s v="Delivered"/>
    <n v="61150"/>
  </r>
  <r>
    <s v="ORD10420"/>
    <s v="CUST0345"/>
    <x v="97"/>
    <x v="3"/>
    <s v="Mumbai"/>
    <x v="0"/>
    <s v="Water Bottle"/>
    <n v="1"/>
    <n v="7750"/>
    <x v="0"/>
    <s v="Delivered"/>
    <n v="7750"/>
  </r>
  <r>
    <s v="ORD10421"/>
    <s v="CUST0095"/>
    <x v="197"/>
    <x v="2"/>
    <s v="Kolkata"/>
    <x v="1"/>
    <s v="Headphones"/>
    <n v="2"/>
    <n v="12000"/>
    <x v="2"/>
    <s v="Delivered"/>
    <n v="24000"/>
  </r>
  <r>
    <s v="ORD10422"/>
    <s v="CUST0412"/>
    <x v="103"/>
    <x v="3"/>
    <s v="Ahmedabad"/>
    <x v="1"/>
    <s v="Laptop"/>
    <n v="2"/>
    <n v="9800"/>
    <x v="0"/>
    <s v="Delivered"/>
    <n v="19600"/>
  </r>
  <r>
    <s v="ORD10423"/>
    <s v="CUST0206"/>
    <x v="249"/>
    <x v="2"/>
    <s v="Guwahati"/>
    <x v="1"/>
    <s v="Smartphone"/>
    <n v="4"/>
    <n v="60300"/>
    <x v="2"/>
    <s v="Delivered"/>
    <n v="241200"/>
  </r>
  <r>
    <s v="ORD10424"/>
    <s v="CUST0345"/>
    <x v="250"/>
    <x v="2"/>
    <s v="Guwahati"/>
    <x v="4"/>
    <s v="Moisturizer"/>
    <n v="3"/>
    <n v="2850"/>
    <x v="1"/>
    <s v="Delivered"/>
    <n v="8550"/>
  </r>
  <r>
    <s v="ORD10425"/>
    <s v="CUST0433"/>
    <x v="251"/>
    <x v="2"/>
    <s v="Patna"/>
    <x v="1"/>
    <s v="Headphones"/>
    <n v="2"/>
    <n v="38550"/>
    <x v="1"/>
    <s v="Delivered"/>
    <n v="77100"/>
  </r>
  <r>
    <s v="ORD10426"/>
    <s v="CUST0219"/>
    <x v="204"/>
    <x v="0"/>
    <s v="Hyderabad"/>
    <x v="0"/>
    <s v="Mixer Grinder"/>
    <n v="1"/>
    <n v="5100"/>
    <x v="0"/>
    <s v="Delivered"/>
    <n v="5100"/>
  </r>
  <r>
    <s v="ORD10427"/>
    <s v="CUST0375"/>
    <x v="193"/>
    <x v="0"/>
    <s v="Chennai"/>
    <x v="3"/>
    <s v="Football"/>
    <n v="1"/>
    <n v="6100"/>
    <x v="1"/>
    <s v="Delivered"/>
    <n v="6100"/>
  </r>
  <r>
    <s v="ORD10428"/>
    <s v="CUST0094"/>
    <x v="164"/>
    <x v="3"/>
    <s v="Mumbai"/>
    <x v="4"/>
    <s v="Face Wash"/>
    <n v="1"/>
    <n v="3900"/>
    <x v="3"/>
    <s v="Delivered"/>
    <n v="3900"/>
  </r>
  <r>
    <s v="ORD10429"/>
    <s v="CUST0384"/>
    <x v="252"/>
    <x v="1"/>
    <s v="Chandigarh"/>
    <x v="1"/>
    <s v="Laptop"/>
    <n v="1"/>
    <n v="43800"/>
    <x v="1"/>
    <s v="Delivered"/>
    <n v="43800"/>
  </r>
  <r>
    <s v="ORD10430"/>
    <s v="CUST0288"/>
    <x v="248"/>
    <x v="1"/>
    <s v="Jaipur"/>
    <x v="1"/>
    <s v="Laptop"/>
    <n v="3"/>
    <n v="64750"/>
    <x v="1"/>
    <s v="Delivered"/>
    <n v="194250"/>
  </r>
  <r>
    <s v="ORD10431"/>
    <s v="CUST0042"/>
    <x v="150"/>
    <x v="0"/>
    <s v="Hyderabad"/>
    <x v="0"/>
    <s v="Table Lamp"/>
    <n v="4"/>
    <n v="1900"/>
    <x v="1"/>
    <s v="Delivered"/>
    <n v="7600"/>
  </r>
  <r>
    <s v="ORD10432"/>
    <s v="CUST0390"/>
    <x v="27"/>
    <x v="3"/>
    <s v="Mumbai"/>
    <x v="1"/>
    <s v="Monitor"/>
    <n v="2"/>
    <n v="15950"/>
    <x v="2"/>
    <s v="Cancelled"/>
    <n v="31900"/>
  </r>
  <r>
    <s v="ORD10433"/>
    <s v="CUST0305"/>
    <x v="164"/>
    <x v="3"/>
    <m/>
    <x v="1"/>
    <s v="Headphones"/>
    <n v="3"/>
    <n v="34450"/>
    <x v="0"/>
    <s v="Delivered"/>
    <n v="103350"/>
  </r>
  <r>
    <s v="ORD10434"/>
    <s v="CUST0119"/>
    <x v="136"/>
    <x v="3"/>
    <s v="Ahmedabad"/>
    <x v="3"/>
    <s v="Football"/>
    <n v="2"/>
    <n v="6300"/>
    <x v="0"/>
    <s v="Shipped"/>
    <n v="12600"/>
  </r>
  <r>
    <s v="ORD10435"/>
    <s v="CUST0105"/>
    <x v="140"/>
    <x v="0"/>
    <s v="Hyderabad"/>
    <x v="3"/>
    <s v="Running Shoes"/>
    <n v="4"/>
    <n v="3200"/>
    <x v="0"/>
    <s v="Delivered"/>
    <n v="12800"/>
  </r>
  <r>
    <s v="ORD10436"/>
    <s v="CUST0304"/>
    <x v="6"/>
    <x v="0"/>
    <s v="Chennai"/>
    <x v="2"/>
    <s v="Sneakers"/>
    <n v="1"/>
    <n v="1500"/>
    <x v="3"/>
    <s v="Delivered"/>
    <n v="1500"/>
  </r>
  <r>
    <s v="ORD10437"/>
    <s v="CUST0184"/>
    <x v="253"/>
    <x v="0"/>
    <s v="Vijayawada"/>
    <x v="2"/>
    <s v="Backpack"/>
    <n v="1"/>
    <n v="3850"/>
    <x v="0"/>
    <s v="Delivered"/>
    <n v="3850"/>
  </r>
  <r>
    <s v="ORD10438"/>
    <s v="CUST0404"/>
    <x v="126"/>
    <x v="1"/>
    <s v="Jaipur"/>
    <x v="1"/>
    <s v="Headphones"/>
    <n v="1"/>
    <n v="12900"/>
    <x v="0"/>
    <s v="Cancelled"/>
    <n v="12900"/>
  </r>
  <r>
    <s v="ORD10439"/>
    <s v="CUST0181"/>
    <x v="50"/>
    <x v="0"/>
    <s v="Chennai"/>
    <x v="2"/>
    <s v="Sneakers"/>
    <n v="1"/>
    <n v="6150"/>
    <x v="0"/>
    <s v="Delivered"/>
    <n v="6150"/>
  </r>
  <r>
    <s v="ORD10440"/>
    <s v="CUST0129"/>
    <x v="187"/>
    <x v="2"/>
    <s v="Bhubaneswar"/>
    <x v="0"/>
    <s v="Air Fryer"/>
    <n v="4"/>
    <n v="8100"/>
    <x v="0"/>
    <s v="Delivered"/>
    <n v="32400"/>
  </r>
  <r>
    <s v="ORD10441"/>
    <s v="CUST0372"/>
    <x v="202"/>
    <x v="0"/>
    <s v="Hyderabad"/>
    <x v="1"/>
    <s v="Monitor"/>
    <n v="3"/>
    <n v="56200"/>
    <x v="0"/>
    <s v="Delivered"/>
    <n v="168600"/>
  </r>
  <r>
    <s v="ORD10442"/>
    <s v="CUST0070"/>
    <x v="16"/>
    <x v="0"/>
    <s v="Vijayawada"/>
    <x v="2"/>
    <s v="Jeans"/>
    <n v="2"/>
    <n v="6000"/>
    <x v="2"/>
    <s v="Delivered"/>
    <n v="12000"/>
  </r>
  <r>
    <s v="ORD10443"/>
    <s v="CUST0192"/>
    <x v="254"/>
    <x v="3"/>
    <s v="Surat"/>
    <x v="1"/>
    <s v="Keyboard"/>
    <n v="1"/>
    <n v="38100"/>
    <x v="3"/>
    <s v="Delivered"/>
    <n v="38100"/>
  </r>
  <r>
    <s v="ORD10444"/>
    <s v="CUST0311"/>
    <x v="255"/>
    <x v="2"/>
    <s v="Guwahati"/>
    <x v="0"/>
    <s v="Mixer Grinder"/>
    <n v="3"/>
    <n v="7500"/>
    <x v="0"/>
    <s v="Delivered"/>
    <n v="22500"/>
  </r>
  <r>
    <s v="ORD10445"/>
    <s v="CUST0030"/>
    <x v="194"/>
    <x v="3"/>
    <s v="Mumbai"/>
    <x v="1"/>
    <s v="Headphones"/>
    <n v="2"/>
    <n v="5000"/>
    <x v="1"/>
    <s v="Delivered"/>
    <n v="10000"/>
  </r>
  <r>
    <s v="ORD10446"/>
    <s v="CUST0378"/>
    <x v="74"/>
    <x v="2"/>
    <s v="Kolkata"/>
    <x v="2"/>
    <s v="Backpack"/>
    <n v="1"/>
    <n v="4700"/>
    <x v="4"/>
    <s v="Shipped"/>
    <n v="4700"/>
  </r>
  <r>
    <s v="ORD10447"/>
    <s v="CUST0278"/>
    <x v="254"/>
    <x v="1"/>
    <s v="Lucknow"/>
    <x v="1"/>
    <s v="Smartphone"/>
    <n v="1"/>
    <n v="10000"/>
    <x v="0"/>
    <s v="Delivered"/>
    <n v="10000"/>
  </r>
  <r>
    <s v="ORD10448"/>
    <s v="CUST0099"/>
    <x v="143"/>
    <x v="0"/>
    <s v="Chennai"/>
    <x v="3"/>
    <s v="Yoga Mat"/>
    <n v="3"/>
    <n v="7050"/>
    <x v="1"/>
    <s v="Delivered"/>
    <n v="21150"/>
  </r>
  <r>
    <s v="ORD10449"/>
    <s v="CUST0163"/>
    <x v="152"/>
    <x v="0"/>
    <s v="Bengaluru"/>
    <x v="0"/>
    <s v="Mixer Grinder"/>
    <n v="3"/>
    <n v="1600"/>
    <x v="0"/>
    <s v="Cancelled"/>
    <n v="4800"/>
  </r>
  <r>
    <s v="ORD10450"/>
    <s v="CUST0006"/>
    <x v="242"/>
    <x v="1"/>
    <s v="Delhi"/>
    <x v="0"/>
    <s v="Table Lamp"/>
    <n v="1"/>
    <n v="3600"/>
    <x v="0"/>
    <s v="Cancelled"/>
    <n v="3600"/>
  </r>
  <r>
    <s v="ORD10451"/>
    <s v="CUST0448"/>
    <x v="55"/>
    <x v="1"/>
    <s v="Jaipur"/>
    <x v="3"/>
    <s v="Yoga Mat"/>
    <n v="1"/>
    <n v="800"/>
    <x v="2"/>
    <s v="Delivered"/>
    <n v="800"/>
  </r>
  <r>
    <s v="ORD10452"/>
    <s v="CUST0239"/>
    <x v="207"/>
    <x v="2"/>
    <s v="Bhubaneswar"/>
    <x v="3"/>
    <s v="Yoga Mat"/>
    <n v="1"/>
    <n v="1150"/>
    <x v="0"/>
    <s v="Delivered"/>
    <n v="1150"/>
  </r>
  <r>
    <s v="ORD10453"/>
    <s v="CUST0327"/>
    <x v="83"/>
    <x v="1"/>
    <s v="Chandigarh"/>
    <x v="2"/>
    <s v="Backpack"/>
    <n v="1"/>
    <n v="7550"/>
    <x v="0"/>
    <s v="Delivered"/>
    <n v="7550"/>
  </r>
  <r>
    <s v="ORD10454"/>
    <s v="CUST0324"/>
    <x v="6"/>
    <x v="0"/>
    <s v="Hyderabad"/>
    <x v="3"/>
    <s v="Football"/>
    <n v="2"/>
    <n v="5550"/>
    <x v="0"/>
    <s v="Delivered"/>
    <n v="11100"/>
  </r>
  <r>
    <s v="ORD10455"/>
    <s v="CUST0246"/>
    <x v="256"/>
    <x v="2"/>
    <s v="Guwahati"/>
    <x v="1"/>
    <s v="Keyboard"/>
    <n v="1"/>
    <n v="27650"/>
    <x v="3"/>
    <s v="Delivered"/>
    <n v="27650"/>
  </r>
  <r>
    <s v="ORD10456"/>
    <s v="CUST0125"/>
    <x v="238"/>
    <x v="0"/>
    <s v="Chennai"/>
    <x v="2"/>
    <s v="Sneakers"/>
    <n v="3"/>
    <n v="2100"/>
    <x v="4"/>
    <s v="Cancelled"/>
    <n v="6300"/>
  </r>
  <r>
    <s v="ORD10457"/>
    <s v="CUST0173"/>
    <x v="45"/>
    <x v="0"/>
    <s v="Bengaluru"/>
    <x v="0"/>
    <s v="Air Fryer"/>
    <n v="1"/>
    <n v="6200"/>
    <x v="1"/>
    <s v="Shipped"/>
    <n v="6200"/>
  </r>
  <r>
    <s v="ORD10458"/>
    <s v="CUST0424"/>
    <x v="15"/>
    <x v="0"/>
    <s v="Vijayawada"/>
    <x v="3"/>
    <s v="Cricket Bat"/>
    <n v="4"/>
    <n v="4100"/>
    <x v="0"/>
    <s v="Shipped"/>
    <n v="16400"/>
  </r>
  <r>
    <s v="ORD10459"/>
    <s v="CUST0096"/>
    <x v="207"/>
    <x v="1"/>
    <s v="Chandigarh"/>
    <x v="1"/>
    <s v="Smartphone"/>
    <n v="2"/>
    <n v="57550"/>
    <x v="3"/>
    <s v="Delivered"/>
    <n v="115100"/>
  </r>
  <r>
    <s v="ORD10460"/>
    <s v="CUST0267"/>
    <x v="88"/>
    <x v="2"/>
    <s v="Guwahati"/>
    <x v="4"/>
    <s v="Hair Dryer"/>
    <n v="4"/>
    <n v="4050"/>
    <x v="2"/>
    <s v="Shipped"/>
    <n v="16200"/>
  </r>
  <r>
    <s v="ORD10461"/>
    <s v="CUST0202"/>
    <x v="257"/>
    <x v="3"/>
    <s v="Ahmedabad"/>
    <x v="4"/>
    <s v="Face Wash"/>
    <n v="1"/>
    <n v="2400"/>
    <x v="0"/>
    <s v="Delivered"/>
    <n v="2400"/>
  </r>
  <r>
    <s v="ORD10462"/>
    <s v="CUST0025"/>
    <x v="220"/>
    <x v="0"/>
    <s v="Vijayawada"/>
    <x v="3"/>
    <s v="Dumbbells"/>
    <n v="3"/>
    <n v="9200"/>
    <x v="0"/>
    <s v="Delivered"/>
    <n v="27600"/>
  </r>
  <r>
    <s v="ORD10463"/>
    <s v="CUST0226"/>
    <x v="258"/>
    <x v="3"/>
    <s v="Pune"/>
    <x v="3"/>
    <s v="Yoga Mat"/>
    <n v="1"/>
    <n v="1450"/>
    <x v="1"/>
    <s v="Delivered"/>
    <n v="1450"/>
  </r>
  <r>
    <s v="ORD10464"/>
    <s v="CUST0332"/>
    <x v="191"/>
    <x v="2"/>
    <s v="Bhubaneswar"/>
    <x v="1"/>
    <s v="Monitor"/>
    <n v="1"/>
    <n v="63350"/>
    <x v="0"/>
    <s v="Shipped"/>
    <n v="63350"/>
  </r>
  <r>
    <s v="ORD10465"/>
    <s v="CUST0441"/>
    <x v="245"/>
    <x v="0"/>
    <s v="Hyderabad"/>
    <x v="0"/>
    <s v="Water Bottle"/>
    <n v="3"/>
    <n v="350"/>
    <x v="1"/>
    <s v="Cancelled"/>
    <n v="1050"/>
  </r>
  <r>
    <s v="ORD10466"/>
    <s v="CUST0079"/>
    <x v="185"/>
    <x v="3"/>
    <s v="Mumbai"/>
    <x v="0"/>
    <s v="Air Fryer"/>
    <n v="1"/>
    <n v="5200"/>
    <x v="0"/>
    <s v="Delivered"/>
    <n v="5200"/>
  </r>
  <r>
    <s v="ORD10467"/>
    <s v="CUST0008"/>
    <x v="213"/>
    <x v="1"/>
    <s v="Jaipur"/>
    <x v="3"/>
    <s v="Running Shoes"/>
    <n v="1"/>
    <n v="2050"/>
    <x v="0"/>
    <s v="Delivered"/>
    <n v="2050"/>
  </r>
  <r>
    <s v="ORD10468"/>
    <s v="CUST0071"/>
    <x v="252"/>
    <x v="1"/>
    <s v="Delhi"/>
    <x v="1"/>
    <s v="Keyboard"/>
    <n v="1"/>
    <n v="41000"/>
    <x v="0"/>
    <s v="Delivered"/>
    <n v="41000"/>
  </r>
  <r>
    <s v="ORD10469"/>
    <s v="CUST0064"/>
    <x v="259"/>
    <x v="3"/>
    <s v="Ahmedabad"/>
    <x v="0"/>
    <s v="Table Lamp"/>
    <n v="2"/>
    <n v="3700"/>
    <x v="0"/>
    <s v="Delivered"/>
    <n v="7400"/>
  </r>
  <r>
    <s v="ORD10470"/>
    <s v="CUST0438"/>
    <x v="171"/>
    <x v="1"/>
    <s v="Delhi"/>
    <x v="4"/>
    <s v="Perfume"/>
    <n v="1"/>
    <n v="1500"/>
    <x v="2"/>
    <s v="Delivered"/>
    <n v="1500"/>
  </r>
  <r>
    <s v="ORD10471"/>
    <s v="CUST0367"/>
    <x v="260"/>
    <x v="3"/>
    <s v="Mumbai"/>
    <x v="2"/>
    <s v="Sneakers"/>
    <n v="5"/>
    <n v="2250"/>
    <x v="0"/>
    <s v="Delivered"/>
    <n v="11250"/>
  </r>
  <r>
    <s v="ORD10472"/>
    <s v="CUST0338"/>
    <x v="78"/>
    <x v="3"/>
    <s v="Surat"/>
    <x v="1"/>
    <s v="Monitor"/>
    <n v="3"/>
    <n v="43950"/>
    <x v="1"/>
    <s v="Shipped"/>
    <n v="131850"/>
  </r>
  <r>
    <s v="ORD10473"/>
    <s v="CUST0095"/>
    <x v="216"/>
    <x v="0"/>
    <s v="Bengaluru"/>
    <x v="1"/>
    <s v="Monitor"/>
    <n v="5"/>
    <n v="2950"/>
    <x v="0"/>
    <s v="Delivered"/>
    <n v="14750"/>
  </r>
  <r>
    <s v="ORD10474"/>
    <s v="CUST0288"/>
    <x v="229"/>
    <x v="3"/>
    <s v="Surat"/>
    <x v="1"/>
    <s v="Smartphone"/>
    <n v="2"/>
    <n v="49700"/>
    <x v="1"/>
    <s v="Returned"/>
    <n v="99400"/>
  </r>
  <r>
    <s v="ORD10475"/>
    <s v="CUST0415"/>
    <x v="231"/>
    <x v="1"/>
    <s v="Chandigarh"/>
    <x v="0"/>
    <s v="Air Fryer"/>
    <n v="2"/>
    <n v="6050"/>
    <x v="1"/>
    <s v="Delivered"/>
    <n v="12100"/>
  </r>
  <r>
    <s v="ORD10476"/>
    <s v="CUST0348"/>
    <x v="261"/>
    <x v="1"/>
    <s v="Chandigarh"/>
    <x v="1"/>
    <s v="Monitor"/>
    <n v="2"/>
    <n v="39500"/>
    <x v="0"/>
    <s v="Delivered"/>
    <n v="79000"/>
  </r>
  <r>
    <s v="ORD10477"/>
    <s v="CUST0306"/>
    <x v="262"/>
    <x v="3"/>
    <s v="Pune"/>
    <x v="2"/>
    <s v="Watch"/>
    <n v="2"/>
    <n v="5000"/>
    <x v="0"/>
    <s v="Delivered"/>
    <n v="10000"/>
  </r>
  <r>
    <s v="ORD10478"/>
    <s v="CUST0182"/>
    <x v="62"/>
    <x v="0"/>
    <s v="Bengaluru"/>
    <x v="3"/>
    <s v="Football"/>
    <n v="4"/>
    <n v="8950"/>
    <x v="1"/>
    <s v="Delivered"/>
    <n v="35800"/>
  </r>
  <r>
    <s v="ORD10479"/>
    <s v="CUST0374"/>
    <x v="159"/>
    <x v="3"/>
    <s v="Mumbai"/>
    <x v="0"/>
    <s v="Cookware Set"/>
    <n v="4"/>
    <n v="4300"/>
    <x v="0"/>
    <s v="Delivered"/>
    <n v="17200"/>
  </r>
  <r>
    <s v="ORD10480"/>
    <s v="CUST0089"/>
    <x v="229"/>
    <x v="3"/>
    <s v="Surat"/>
    <x v="1"/>
    <s v="Headphones"/>
    <n v="1"/>
    <n v="45800"/>
    <x v="4"/>
    <s v="Delivered"/>
    <n v="45800"/>
  </r>
  <r>
    <s v="ORD10481"/>
    <s v="CUST0066"/>
    <x v="261"/>
    <x v="1"/>
    <s v="Delhi"/>
    <x v="0"/>
    <s v="Mixer Grinder"/>
    <n v="3"/>
    <n v="5700"/>
    <x v="3"/>
    <s v="Delivered"/>
    <n v="17100"/>
  </r>
  <r>
    <s v="ORD10482"/>
    <s v="CUST0101"/>
    <x v="89"/>
    <x v="0"/>
    <s v="Chennai"/>
    <x v="2"/>
    <s v="Backpack"/>
    <n v="3"/>
    <n v="5200"/>
    <x v="2"/>
    <s v="Shipped"/>
    <n v="15600"/>
  </r>
  <r>
    <s v="ORD10483"/>
    <s v="CUST0150"/>
    <x v="263"/>
    <x v="0"/>
    <s v="Bengaluru"/>
    <x v="1"/>
    <s v="Headphones"/>
    <n v="1"/>
    <n v="54700"/>
    <x v="3"/>
    <s v="Shipped"/>
    <n v="54700"/>
  </r>
  <r>
    <s v="ORD10484"/>
    <s v="CUST0151"/>
    <x v="264"/>
    <x v="2"/>
    <s v="Kolkata"/>
    <x v="3"/>
    <s v="Dumbbells"/>
    <n v="3"/>
    <n v="3400"/>
    <x v="1"/>
    <s v="Delivered"/>
    <n v="10200"/>
  </r>
  <r>
    <s v="ORD10485"/>
    <s v="CUST0400"/>
    <x v="207"/>
    <x v="2"/>
    <s v="Kolkata"/>
    <x v="1"/>
    <s v="Monitor"/>
    <n v="2"/>
    <n v="41450"/>
    <x v="0"/>
    <s v="Delivered"/>
    <n v="82900"/>
  </r>
  <r>
    <s v="ORD10486"/>
    <s v="CUST0261"/>
    <x v="204"/>
    <x v="0"/>
    <s v="Vijayawada"/>
    <x v="2"/>
    <s v="Watch"/>
    <n v="4"/>
    <n v="6600"/>
    <x v="2"/>
    <s v="Delivered"/>
    <n v="26400"/>
  </r>
  <r>
    <s v="ORD10487"/>
    <s v="CUST0438"/>
    <x v="150"/>
    <x v="0"/>
    <s v="Chennai"/>
    <x v="3"/>
    <s v="Football"/>
    <n v="2"/>
    <n v="500"/>
    <x v="0"/>
    <s v="Delivered"/>
    <n v="1000"/>
  </r>
  <r>
    <s v="ORD10488"/>
    <s v="CUST0450"/>
    <x v="213"/>
    <x v="2"/>
    <s v="Patna"/>
    <x v="2"/>
    <s v="Watch"/>
    <n v="2"/>
    <n v="7250"/>
    <x v="3"/>
    <s v="Delivered"/>
    <n v="14500"/>
  </r>
  <r>
    <s v="ORD10489"/>
    <s v="CUST0344"/>
    <x v="93"/>
    <x v="1"/>
    <s v="Delhi"/>
    <x v="0"/>
    <s v="Mixer Grinder"/>
    <n v="1"/>
    <n v="3000"/>
    <x v="0"/>
    <s v="Returned"/>
    <n v="3000"/>
  </r>
  <r>
    <s v="ORD10490"/>
    <s v="CUST0413"/>
    <x v="265"/>
    <x v="2"/>
    <s v="Patna"/>
    <x v="3"/>
    <s v="Football"/>
    <n v="1"/>
    <n v="8200"/>
    <x v="0"/>
    <s v="Delivered"/>
    <n v="8200"/>
  </r>
  <r>
    <s v="ORD10491"/>
    <s v="CUST0109"/>
    <x v="251"/>
    <x v="3"/>
    <s v="Mumbai"/>
    <x v="2"/>
    <s v="Watch"/>
    <n v="1"/>
    <n v="5200"/>
    <x v="2"/>
    <s v="Delivered"/>
    <n v="5200"/>
  </r>
  <r>
    <s v="ORD10492"/>
    <s v="CUST0086"/>
    <x v="11"/>
    <x v="1"/>
    <s v="Lucknow"/>
    <x v="4"/>
    <s v="Perfume"/>
    <n v="2"/>
    <n v="3700"/>
    <x v="0"/>
    <s v="Delivered"/>
    <n v="7400"/>
  </r>
  <r>
    <s v="ORD10493"/>
    <s v="CUST0407"/>
    <x v="266"/>
    <x v="2"/>
    <s v="Patna"/>
    <x v="0"/>
    <s v="Table Lamp"/>
    <n v="2"/>
    <n v="2250"/>
    <x v="2"/>
    <s v="Delivered"/>
    <n v="4500"/>
  </r>
  <r>
    <s v="ORD10494"/>
    <s v="CUST0267"/>
    <x v="102"/>
    <x v="0"/>
    <s v="Chennai"/>
    <x v="1"/>
    <s v="Laptop"/>
    <n v="5"/>
    <n v="54200"/>
    <x v="2"/>
    <s v="Delivered"/>
    <n v="271000"/>
  </r>
  <r>
    <s v="ORD10495"/>
    <s v="CUST0220"/>
    <x v="226"/>
    <x v="0"/>
    <s v="Chennai"/>
    <x v="0"/>
    <s v="Water Bottle"/>
    <n v="1"/>
    <n v="2650"/>
    <x v="2"/>
    <s v="Delivered"/>
    <n v="2650"/>
  </r>
  <r>
    <s v="ORD10496"/>
    <s v="CUST0154"/>
    <x v="210"/>
    <x v="0"/>
    <s v="Chennai"/>
    <x v="3"/>
    <s v="Football"/>
    <n v="2"/>
    <n v="3950"/>
    <x v="2"/>
    <s v="Delivered"/>
    <n v="7900"/>
  </r>
  <r>
    <s v="ORD10497"/>
    <s v="CUST0118"/>
    <x v="93"/>
    <x v="2"/>
    <s v="Kolkata"/>
    <x v="2"/>
    <s v="Sneakers"/>
    <n v="1"/>
    <n v="550"/>
    <x v="0"/>
    <s v="Delivered"/>
    <n v="550"/>
  </r>
  <r>
    <s v="ORD10498"/>
    <s v="CUST0429"/>
    <x v="33"/>
    <x v="1"/>
    <s v="Delhi"/>
    <x v="0"/>
    <s v="Cookware Set"/>
    <n v="1"/>
    <n v="6150"/>
    <x v="2"/>
    <s v="Delivered"/>
    <n v="6150"/>
  </r>
  <r>
    <s v="ORD10499"/>
    <s v="CUST0035"/>
    <x v="13"/>
    <x v="2"/>
    <s v="Bhubaneswar"/>
    <x v="0"/>
    <s v="Water Bottle"/>
    <n v="1"/>
    <n v="7400"/>
    <x v="0"/>
    <s v="Delivered"/>
    <n v="7400"/>
  </r>
  <r>
    <s v="ORD10500"/>
    <s v="CUST0358"/>
    <x v="247"/>
    <x v="1"/>
    <s v="Jaipur"/>
    <x v="0"/>
    <s v="Water Bottle"/>
    <n v="3"/>
    <n v="8500"/>
    <x v="2"/>
    <s v="Returned"/>
    <n v="25500"/>
  </r>
  <r>
    <s v="ORD10501"/>
    <s v="CUST0337"/>
    <x v="267"/>
    <x v="1"/>
    <s v="Chandigarh"/>
    <x v="2"/>
    <s v="Watch"/>
    <n v="1"/>
    <n v="3400"/>
    <x v="2"/>
    <s v="Delivered"/>
    <n v="3400"/>
  </r>
  <r>
    <s v="ORD10502"/>
    <s v="CUST0236"/>
    <x v="268"/>
    <x v="1"/>
    <s v="Lucknow"/>
    <x v="1"/>
    <s v="Smartphone"/>
    <n v="1"/>
    <n v="34450"/>
    <x v="3"/>
    <s v="Delivered"/>
    <n v="34450"/>
  </r>
  <r>
    <s v="ORD10503"/>
    <s v="CUST0291"/>
    <x v="137"/>
    <x v="3"/>
    <s v="Pune"/>
    <x v="1"/>
    <s v="Laptop"/>
    <n v="2"/>
    <n v="4450"/>
    <x v="2"/>
    <s v="Cancelled"/>
    <n v="8900"/>
  </r>
  <r>
    <s v="ORD10504"/>
    <s v="CUST0413"/>
    <x v="269"/>
    <x v="0"/>
    <s v="Vijayawada"/>
    <x v="0"/>
    <s v="Water Bottle"/>
    <n v="2"/>
    <n v="950"/>
    <x v="3"/>
    <s v="Delivered"/>
    <n v="1900"/>
  </r>
  <r>
    <s v="ORD10505"/>
    <s v="CUST0132"/>
    <x v="62"/>
    <x v="1"/>
    <s v="Chandigarh"/>
    <x v="2"/>
    <s v="Sneakers"/>
    <n v="2"/>
    <n v="5050"/>
    <x v="0"/>
    <s v="Delivered"/>
    <n v="10100"/>
  </r>
  <r>
    <s v="ORD10506"/>
    <s v="CUST0257"/>
    <x v="66"/>
    <x v="3"/>
    <s v="Surat"/>
    <x v="1"/>
    <s v="Monitor"/>
    <n v="3"/>
    <n v="54000"/>
    <x v="0"/>
    <s v="Cancelled"/>
    <n v="162000"/>
  </r>
  <r>
    <s v="ORD10507"/>
    <s v="CUST0357"/>
    <x v="62"/>
    <x v="1"/>
    <s v="Chandigarh"/>
    <x v="3"/>
    <s v="Dumbbells"/>
    <n v="1"/>
    <n v="900"/>
    <x v="2"/>
    <s v="Delivered"/>
    <n v="900"/>
  </r>
  <r>
    <s v="ORD10508"/>
    <s v="CUST0247"/>
    <x v="165"/>
    <x v="0"/>
    <s v="Vijayawada"/>
    <x v="2"/>
    <s v="T-Shirt"/>
    <n v="1"/>
    <n v="7600"/>
    <x v="4"/>
    <s v="Delivered"/>
    <n v="7600"/>
  </r>
  <r>
    <s v="ORD10509"/>
    <s v="CUST0210"/>
    <x v="270"/>
    <x v="1"/>
    <s v="Chandigarh"/>
    <x v="0"/>
    <s v="Table Lamp"/>
    <n v="1"/>
    <n v="450"/>
    <x v="0"/>
    <s v="Delivered"/>
    <n v="450"/>
  </r>
  <r>
    <s v="ORD10510"/>
    <s v="CUST0098"/>
    <x v="196"/>
    <x v="1"/>
    <s v="Lucknow"/>
    <x v="4"/>
    <s v="Shampoo"/>
    <n v="1"/>
    <n v="1150"/>
    <x v="0"/>
    <s v="Delivered"/>
    <n v="1150"/>
  </r>
  <r>
    <s v="ORD10511"/>
    <s v="CUST0351"/>
    <x v="271"/>
    <x v="2"/>
    <s v="Bhubaneswar"/>
    <x v="1"/>
    <s v="Smartphone"/>
    <n v="1"/>
    <n v="30650"/>
    <x v="0"/>
    <s v="Delivered"/>
    <n v="30650"/>
  </r>
  <r>
    <s v="ORD10512"/>
    <s v="CUST0042"/>
    <x v="96"/>
    <x v="0"/>
    <s v="Hyderabad"/>
    <x v="2"/>
    <s v="Backpack"/>
    <n v="1"/>
    <n v="4750"/>
    <x v="0"/>
    <s v="Delivered"/>
    <n v="4750"/>
  </r>
  <r>
    <s v="ORD10513"/>
    <s v="CUST0348"/>
    <x v="165"/>
    <x v="1"/>
    <s v="Jaipur"/>
    <x v="2"/>
    <s v="Jeans"/>
    <n v="1"/>
    <n v="1000"/>
    <x v="0"/>
    <s v="Delivered"/>
    <n v="1000"/>
  </r>
  <r>
    <s v="ORD10514"/>
    <s v="CUST0175"/>
    <x v="272"/>
    <x v="1"/>
    <s v="Delhi"/>
    <x v="0"/>
    <s v="Cookware Set"/>
    <n v="3"/>
    <n v="8600"/>
    <x v="0"/>
    <s v="Delivered"/>
    <n v="25800"/>
  </r>
  <r>
    <s v="ORD10514"/>
    <s v="CUST0327"/>
    <x v="7"/>
    <x v="1"/>
    <s v="Chandigarh"/>
    <x v="1"/>
    <s v="Headphones"/>
    <n v="3"/>
    <n v="37100"/>
    <x v="2"/>
    <s v="Returned"/>
    <n v="111300"/>
  </r>
  <r>
    <s v="ORD10516"/>
    <s v="CUST0200"/>
    <x v="273"/>
    <x v="0"/>
    <s v="Vijayawada"/>
    <x v="4"/>
    <s v="Shampoo"/>
    <n v="1"/>
    <n v="2700"/>
    <x v="0"/>
    <s v="Delivered"/>
    <n v="2700"/>
  </r>
  <r>
    <s v="ORD10517"/>
    <s v="CUST0427"/>
    <x v="153"/>
    <x v="3"/>
    <s v="Pune"/>
    <x v="1"/>
    <s v="Laptop"/>
    <n v="1"/>
    <n v="34050"/>
    <x v="0"/>
    <s v="Returned"/>
    <n v="34050"/>
  </r>
  <r>
    <s v="ORD10518"/>
    <s v="CUST0155"/>
    <x v="38"/>
    <x v="0"/>
    <s v="Vijayawada"/>
    <x v="1"/>
    <s v="Headphones"/>
    <n v="1"/>
    <n v="5650"/>
    <x v="1"/>
    <s v="Delivered"/>
    <n v="5650"/>
  </r>
  <r>
    <s v="ORD10519"/>
    <s v="CUST0280"/>
    <x v="74"/>
    <x v="1"/>
    <s v="Chandigarh"/>
    <x v="0"/>
    <s v="Cookware Set"/>
    <n v="1"/>
    <n v="1800"/>
    <x v="4"/>
    <s v="Delivered"/>
    <n v="1800"/>
  </r>
  <r>
    <s v="ORD10520"/>
    <s v="CUST0175"/>
    <x v="274"/>
    <x v="0"/>
    <s v="Bengaluru"/>
    <x v="0"/>
    <s v="Table Lamp"/>
    <n v="1"/>
    <n v="5650"/>
    <x v="2"/>
    <s v="Delivered"/>
    <n v="5650"/>
  </r>
  <r>
    <s v="ORD10521"/>
    <s v="CUST0014"/>
    <x v="115"/>
    <x v="0"/>
    <s v="Hyderabad"/>
    <x v="4"/>
    <s v="Hair Dryer"/>
    <n v="3"/>
    <n v="3300"/>
    <x v="0"/>
    <s v="Delivered"/>
    <n v="9900"/>
  </r>
  <r>
    <s v="ORD10522"/>
    <s v="CUST0439"/>
    <x v="275"/>
    <x v="3"/>
    <s v="Ahmedabad"/>
    <x v="1"/>
    <s v="Laptop"/>
    <n v="1"/>
    <n v="63600"/>
    <x v="1"/>
    <s v="Delivered"/>
    <n v="63600"/>
  </r>
  <r>
    <s v="ORD10523"/>
    <s v="CUST0098"/>
    <x v="250"/>
    <x v="0"/>
    <s v="Vijayawada"/>
    <x v="0"/>
    <s v="Water Bottle"/>
    <n v="3"/>
    <n v="7300"/>
    <x v="0"/>
    <s v="Delivered"/>
    <n v="21900"/>
  </r>
  <r>
    <s v="ORD10524"/>
    <s v="CUST0046"/>
    <x v="127"/>
    <x v="3"/>
    <s v="Surat"/>
    <x v="0"/>
    <s v="Table Lamp"/>
    <n v="1"/>
    <n v="8950"/>
    <x v="1"/>
    <s v="Delivered"/>
    <n v="8950"/>
  </r>
  <r>
    <s v="ORD10525"/>
    <s v="CUST0427"/>
    <x v="83"/>
    <x v="1"/>
    <s v="Delhi"/>
    <x v="1"/>
    <s v="Headphones"/>
    <n v="1"/>
    <n v="64450"/>
    <x v="0"/>
    <s v="Delivered"/>
    <n v="64450"/>
  </r>
  <r>
    <s v="ORD10526"/>
    <s v="CUST0428"/>
    <x v="276"/>
    <x v="3"/>
    <s v="Ahmedabad"/>
    <x v="0"/>
    <s v="Table Lamp"/>
    <n v="2"/>
    <n v="2400"/>
    <x v="0"/>
    <s v="Delivered"/>
    <n v="4800"/>
  </r>
  <r>
    <s v="ORD10527"/>
    <s v="CUST0313"/>
    <x v="134"/>
    <x v="0"/>
    <s v="Bengaluru"/>
    <x v="4"/>
    <s v="Moisturizer"/>
    <n v="2"/>
    <n v="400"/>
    <x v="0"/>
    <s v="Delivered"/>
    <n v="800"/>
  </r>
  <r>
    <s v="ORD10528"/>
    <s v="CUST0450"/>
    <x v="153"/>
    <x v="1"/>
    <s v="Lucknow"/>
    <x v="1"/>
    <s v="Headphones"/>
    <n v="4"/>
    <n v="21100"/>
    <x v="0"/>
    <s v="Delivered"/>
    <n v="84400"/>
  </r>
  <r>
    <s v="ORD10529"/>
    <s v="CUST0259"/>
    <x v="131"/>
    <x v="1"/>
    <s v="Delhi"/>
    <x v="0"/>
    <s v="Mixer Grinder"/>
    <n v="1"/>
    <n v="2350"/>
    <x v="0"/>
    <s v="Delivered"/>
    <n v="2350"/>
  </r>
  <r>
    <s v="ORD10530"/>
    <s v="CUST0153"/>
    <x v="246"/>
    <x v="3"/>
    <s v="Mumbai"/>
    <x v="1"/>
    <s v="Monitor"/>
    <n v="1"/>
    <n v="23950"/>
    <x v="0"/>
    <s v="Delivered"/>
    <n v="23950"/>
  </r>
  <r>
    <s v="ORD10531"/>
    <s v="CUST0129"/>
    <x v="159"/>
    <x v="0"/>
    <s v="Hyderabad"/>
    <x v="2"/>
    <s v="T-Shirt"/>
    <n v="1"/>
    <n v="6550"/>
    <x v="1"/>
    <s v="Cancelled"/>
    <n v="6550"/>
  </r>
  <r>
    <s v="ORD10532"/>
    <s v="CUST0122"/>
    <x v="277"/>
    <x v="0"/>
    <s v="Vijayawada"/>
    <x v="1"/>
    <s v="Smartphone"/>
    <n v="1"/>
    <n v="16550"/>
    <x v="2"/>
    <s v="Delivered"/>
    <n v="16550"/>
  </r>
  <r>
    <s v="ORD10533"/>
    <s v="CUST0381"/>
    <x v="260"/>
    <x v="0"/>
    <s v="Bengaluru"/>
    <x v="2"/>
    <s v="Sneakers"/>
    <n v="2"/>
    <n v="6250"/>
    <x v="2"/>
    <s v="Delivered"/>
    <n v="12500"/>
  </r>
  <r>
    <s v="ORD10534"/>
    <s v="CUST0377"/>
    <x v="192"/>
    <x v="3"/>
    <s v="Mumbai"/>
    <x v="2"/>
    <s v="Backpack"/>
    <n v="1"/>
    <n v="2750"/>
    <x v="0"/>
    <s v="Delivered"/>
    <n v="2750"/>
  </r>
  <r>
    <s v="ORD10535"/>
    <s v="CUST0189"/>
    <x v="64"/>
    <x v="1"/>
    <s v="Jaipur"/>
    <x v="4"/>
    <s v="Hair Dryer"/>
    <n v="3"/>
    <n v="4450"/>
    <x v="0"/>
    <s v="Delivered"/>
    <n v="13350"/>
  </r>
  <r>
    <s v="ORD10536"/>
    <s v="CUST0298"/>
    <x v="144"/>
    <x v="0"/>
    <s v="Bengaluru"/>
    <x v="1"/>
    <s v="Monitor"/>
    <n v="1"/>
    <n v="4350"/>
    <x v="0"/>
    <s v="Cancelled"/>
    <n v="4350"/>
  </r>
  <r>
    <s v="ORD10537"/>
    <s v="CUST0279"/>
    <x v="278"/>
    <x v="0"/>
    <s v="Vijayawada"/>
    <x v="2"/>
    <s v="Backpack"/>
    <n v="3"/>
    <n v="6150"/>
    <x v="0"/>
    <s v="Delivered"/>
    <n v="18450"/>
  </r>
  <r>
    <s v="ORD10538"/>
    <s v="CUST0276"/>
    <x v="270"/>
    <x v="2"/>
    <s v="Bhubaneswar"/>
    <x v="3"/>
    <s v="Dumbbells"/>
    <n v="3"/>
    <n v="4050"/>
    <x v="0"/>
    <s v="Delivered"/>
    <n v="12150"/>
  </r>
  <r>
    <s v="ORD10539"/>
    <s v="CUST0099"/>
    <x v="199"/>
    <x v="3"/>
    <s v="Mumbai"/>
    <x v="1"/>
    <s v="Headphones"/>
    <n v="2"/>
    <n v="28250"/>
    <x v="1"/>
    <s v="Delivered"/>
    <n v="56500"/>
  </r>
  <r>
    <s v="ORD10540"/>
    <s v="CUST0384"/>
    <x v="279"/>
    <x v="3"/>
    <s v="Ahmedabad"/>
    <x v="1"/>
    <s v="Keyboard"/>
    <n v="1"/>
    <n v="26300"/>
    <x v="2"/>
    <s v="Cancelled"/>
    <n v="26300"/>
  </r>
  <r>
    <s v="ORD10541"/>
    <s v="CUST0305"/>
    <x v="21"/>
    <x v="0"/>
    <s v="Chennai"/>
    <x v="3"/>
    <s v="Yoga Mat"/>
    <n v="1"/>
    <n v="8550"/>
    <x v="4"/>
    <s v="Delivered"/>
    <n v="8550"/>
  </r>
  <r>
    <s v="ORD10542"/>
    <s v="CUST0007"/>
    <x v="221"/>
    <x v="0"/>
    <s v="Vijayawada"/>
    <x v="0"/>
    <s v="Water Bottle"/>
    <n v="2"/>
    <n v="5500"/>
    <x v="2"/>
    <s v="Cancelled"/>
    <n v="11000"/>
  </r>
  <r>
    <s v="ORD10543"/>
    <s v="CUST0174"/>
    <x v="42"/>
    <x v="0"/>
    <s v="Vijayawada"/>
    <x v="4"/>
    <s v="Perfume"/>
    <n v="3"/>
    <n v="650"/>
    <x v="0"/>
    <s v="Delivered"/>
    <n v="1950"/>
  </r>
  <r>
    <s v="ORD10544"/>
    <s v="CUST0021"/>
    <x v="93"/>
    <x v="0"/>
    <s v="Vijayawada"/>
    <x v="1"/>
    <s v="Monitor"/>
    <n v="3"/>
    <n v="52300"/>
    <x v="0"/>
    <s v="Returned"/>
    <n v="156900"/>
  </r>
  <r>
    <s v="ORD10545"/>
    <s v="CUST0157"/>
    <x v="280"/>
    <x v="3"/>
    <m/>
    <x v="2"/>
    <s v="Sneakers"/>
    <n v="3"/>
    <n v="2600"/>
    <x v="3"/>
    <s v="Returned"/>
    <n v="7800"/>
  </r>
  <r>
    <s v="ORD10546"/>
    <s v="CUST0230"/>
    <x v="281"/>
    <x v="3"/>
    <s v="Ahmedabad"/>
    <x v="1"/>
    <s v="Keyboard"/>
    <n v="1"/>
    <n v="11550"/>
    <x v="1"/>
    <s v="Delivered"/>
    <n v="11550"/>
  </r>
  <r>
    <s v="ORD10547"/>
    <s v="CUST0209"/>
    <x v="282"/>
    <x v="2"/>
    <s v="Kolkata"/>
    <x v="1"/>
    <s v="Monitor"/>
    <n v="1"/>
    <n v="41600"/>
    <x v="2"/>
    <s v="Delivered"/>
    <n v="41600"/>
  </r>
  <r>
    <s v="ORD10548"/>
    <s v="CUST0095"/>
    <x v="155"/>
    <x v="3"/>
    <s v="Pune"/>
    <x v="4"/>
    <s v="Moisturizer"/>
    <n v="1"/>
    <n v="2150"/>
    <x v="1"/>
    <s v="Cancelled"/>
    <n v="2150"/>
  </r>
  <r>
    <s v="ORD10549"/>
    <s v="CUST0050"/>
    <x v="149"/>
    <x v="0"/>
    <s v="Bengaluru"/>
    <x v="0"/>
    <s v="Cookware Set"/>
    <n v="1"/>
    <n v="2950"/>
    <x v="0"/>
    <s v="Delivered"/>
    <n v="2950"/>
  </r>
  <r>
    <s v="ORD10550"/>
    <s v="CUST0222"/>
    <x v="283"/>
    <x v="3"/>
    <s v="Mumbai"/>
    <x v="1"/>
    <s v="Monitor"/>
    <n v="3"/>
    <n v="19900"/>
    <x v="2"/>
    <s v="Delivered"/>
    <n v="59700"/>
  </r>
  <r>
    <s v="ORD10551"/>
    <s v="CUST0415"/>
    <x v="61"/>
    <x v="0"/>
    <s v="Vijayawada"/>
    <x v="1"/>
    <s v="Smartphone"/>
    <n v="1"/>
    <n v="34600"/>
    <x v="0"/>
    <s v="Delivered"/>
    <n v="34600"/>
  </r>
  <r>
    <s v="ORD10552"/>
    <s v="CUST0445"/>
    <x v="108"/>
    <x v="0"/>
    <s v="Hyderabad"/>
    <x v="2"/>
    <s v="Sneakers"/>
    <n v="3"/>
    <n v="3850"/>
    <x v="2"/>
    <s v="Delivered"/>
    <n v="11550"/>
  </r>
  <r>
    <s v="ORD10553"/>
    <s v="CUST0132"/>
    <x v="234"/>
    <x v="2"/>
    <s v="Bhubaneswar"/>
    <x v="4"/>
    <s v="Hair Dryer"/>
    <n v="1"/>
    <n v="3450"/>
    <x v="0"/>
    <s v="Delivered"/>
    <n v="3450"/>
  </r>
  <r>
    <s v="ORD10554"/>
    <s v="CUST0201"/>
    <x v="242"/>
    <x v="2"/>
    <s v="Kolkata"/>
    <x v="2"/>
    <s v="T-Shirt"/>
    <n v="1"/>
    <n v="2350"/>
    <x v="2"/>
    <s v="Delivered"/>
    <n v="2350"/>
  </r>
  <r>
    <s v="ORD10555"/>
    <s v="CUST0251"/>
    <x v="160"/>
    <x v="0"/>
    <s v="Vijayawada"/>
    <x v="3"/>
    <s v="Cricket Bat"/>
    <n v="1"/>
    <n v="5350"/>
    <x v="3"/>
    <s v="Delivered"/>
    <n v="5350"/>
  </r>
  <r>
    <s v="ORD10556"/>
    <s v="CUST0032"/>
    <x v="26"/>
    <x v="0"/>
    <s v="Hyderabad"/>
    <x v="4"/>
    <s v="Face Wash"/>
    <n v="2"/>
    <n v="750"/>
    <x v="0"/>
    <s v="Delivered"/>
    <n v="1500"/>
  </r>
  <r>
    <s v="ORD10557"/>
    <s v="CUST0056"/>
    <x v="16"/>
    <x v="3"/>
    <s v="Surat"/>
    <x v="4"/>
    <s v="Face Wash"/>
    <n v="1"/>
    <n v="4950"/>
    <x v="0"/>
    <s v="Delivered"/>
    <n v="4950"/>
  </r>
  <r>
    <s v="ORD10558"/>
    <s v="CUST0407"/>
    <x v="176"/>
    <x v="1"/>
    <s v="Delhi"/>
    <x v="0"/>
    <s v="Air Fryer"/>
    <n v="2"/>
    <n v="4150"/>
    <x v="2"/>
    <s v="Shipped"/>
    <n v="8300"/>
  </r>
  <r>
    <s v="ORD10559"/>
    <s v="CUST0193"/>
    <x v="203"/>
    <x v="1"/>
    <s v="Chandigarh"/>
    <x v="1"/>
    <s v="Smartphone"/>
    <n v="2"/>
    <n v="64300"/>
    <x v="4"/>
    <s v="Delivered"/>
    <n v="128600"/>
  </r>
  <r>
    <s v="ORD10560"/>
    <s v="CUST0435"/>
    <x v="81"/>
    <x v="2"/>
    <s v="Kolkata"/>
    <x v="3"/>
    <s v="Running Shoes"/>
    <n v="1"/>
    <n v="7200"/>
    <x v="0"/>
    <s v="Delivered"/>
    <n v="7200"/>
  </r>
  <r>
    <s v="ORD10561"/>
    <s v="CUST0083"/>
    <x v="274"/>
    <x v="2"/>
    <s v="Bhubaneswar"/>
    <x v="4"/>
    <s v="Perfume"/>
    <n v="4"/>
    <n v="4950"/>
    <x v="0"/>
    <s v="Delivered"/>
    <n v="19800"/>
  </r>
  <r>
    <s v="ORD10562"/>
    <s v="CUST0042"/>
    <x v="139"/>
    <x v="1"/>
    <s v="Jaipur"/>
    <x v="1"/>
    <s v="Keyboard"/>
    <n v="5"/>
    <n v="28900"/>
    <x v="3"/>
    <s v="Delivered"/>
    <n v="144500"/>
  </r>
  <r>
    <s v="ORD10563"/>
    <s v="CUST0056"/>
    <x v="284"/>
    <x v="0"/>
    <s v="Hyderabad"/>
    <x v="3"/>
    <s v="Cricket Bat"/>
    <n v="2"/>
    <n v="3500"/>
    <x v="3"/>
    <s v="Cancelled"/>
    <n v="7000"/>
  </r>
  <r>
    <s v="ORD10564"/>
    <s v="CUST0219"/>
    <x v="72"/>
    <x v="3"/>
    <s v="Mumbai"/>
    <x v="1"/>
    <s v="Monitor"/>
    <n v="2"/>
    <n v="53500"/>
    <x v="0"/>
    <s v="Returned"/>
    <n v="107000"/>
  </r>
  <r>
    <s v="ORD10565"/>
    <s v="CUST0171"/>
    <x v="155"/>
    <x v="1"/>
    <s v="Jaipur"/>
    <x v="3"/>
    <s v="Running Shoes"/>
    <n v="2"/>
    <n v="650"/>
    <x v="1"/>
    <s v="Cancelled"/>
    <n v="1300"/>
  </r>
  <r>
    <s v="ORD10566"/>
    <s v="CUST0327"/>
    <x v="15"/>
    <x v="3"/>
    <s v="Surat"/>
    <x v="4"/>
    <s v="Perfume"/>
    <n v="1"/>
    <n v="1600"/>
    <x v="2"/>
    <s v="Delivered"/>
    <n v="1600"/>
  </r>
  <r>
    <s v="ORD10567"/>
    <s v="CUST0438"/>
    <x v="151"/>
    <x v="0"/>
    <s v="Hyderabad"/>
    <x v="2"/>
    <s v="Jeans"/>
    <n v="3"/>
    <n v="4250"/>
    <x v="1"/>
    <s v="Delivered"/>
    <n v="12750"/>
  </r>
  <r>
    <s v="ORD10568"/>
    <s v="CUST0027"/>
    <x v="82"/>
    <x v="0"/>
    <s v="Hyderabad"/>
    <x v="2"/>
    <s v="Sneakers"/>
    <n v="4"/>
    <n v="1800"/>
    <x v="0"/>
    <s v="Delivered"/>
    <n v="7200"/>
  </r>
  <r>
    <s v="ORD10569"/>
    <s v="CUST0336"/>
    <x v="92"/>
    <x v="0"/>
    <s v="Vijayawada"/>
    <x v="4"/>
    <s v="Perfume"/>
    <n v="2"/>
    <n v="750"/>
    <x v="2"/>
    <s v="Shipped"/>
    <n v="1500"/>
  </r>
  <r>
    <s v="ORD10570"/>
    <s v="CUST0071"/>
    <x v="69"/>
    <x v="0"/>
    <s v="Chennai"/>
    <x v="2"/>
    <s v="Watch"/>
    <n v="2"/>
    <n v="5200"/>
    <x v="2"/>
    <s v="Delivered"/>
    <n v="10400"/>
  </r>
  <r>
    <s v="ORD10571"/>
    <s v="CUST0071"/>
    <x v="40"/>
    <x v="2"/>
    <s v="Kolkata"/>
    <x v="3"/>
    <s v="Cricket Bat"/>
    <n v="1"/>
    <n v="3700"/>
    <x v="1"/>
    <s v="Delivered"/>
    <n v="3700"/>
  </r>
  <r>
    <s v="ORD10572"/>
    <s v="CUST0448"/>
    <x v="208"/>
    <x v="1"/>
    <s v="Chandigarh"/>
    <x v="2"/>
    <s v="Backpack"/>
    <n v="1"/>
    <n v="1400"/>
    <x v="0"/>
    <s v="Delivered"/>
    <n v="1400"/>
  </r>
  <r>
    <s v="ORD10573"/>
    <s v="CUST0130"/>
    <x v="250"/>
    <x v="1"/>
    <s v="Jaipur"/>
    <x v="2"/>
    <s v="T-Shirt"/>
    <n v="1"/>
    <n v="6650"/>
    <x v="2"/>
    <s v="Shipped"/>
    <n v="6650"/>
  </r>
  <r>
    <s v="ORD10574"/>
    <s v="CUST0025"/>
    <x v="71"/>
    <x v="0"/>
    <s v="Chennai"/>
    <x v="1"/>
    <s v="Headphones"/>
    <n v="1"/>
    <n v="27200"/>
    <x v="2"/>
    <s v="Shipped"/>
    <n v="27200"/>
  </r>
  <r>
    <s v="ORD10575"/>
    <s v="CUST0313"/>
    <x v="17"/>
    <x v="1"/>
    <s v="Delhi"/>
    <x v="0"/>
    <s v="Table Lamp"/>
    <n v="1"/>
    <n v="5000"/>
    <x v="2"/>
    <s v="Delivered"/>
    <n v="5000"/>
  </r>
  <r>
    <s v="ORD10576"/>
    <s v="CUST0442"/>
    <x v="285"/>
    <x v="0"/>
    <s v="Hyderabad"/>
    <x v="0"/>
    <s v="Cookware Set"/>
    <n v="1"/>
    <n v="3250"/>
    <x v="2"/>
    <s v="Delivered"/>
    <n v="3250"/>
  </r>
  <r>
    <s v="ORD10577"/>
    <s v="CUST0045"/>
    <x v="199"/>
    <x v="2"/>
    <s v="Guwahati"/>
    <x v="1"/>
    <s v="Smartphone"/>
    <n v="3"/>
    <n v="5900"/>
    <x v="1"/>
    <s v="Delivered"/>
    <n v="17700"/>
  </r>
  <r>
    <s v="ORD10578"/>
    <s v="CUST0265"/>
    <x v="212"/>
    <x v="0"/>
    <s v="Vijayawada"/>
    <x v="1"/>
    <s v="Laptop"/>
    <n v="2"/>
    <n v="61900"/>
    <x v="2"/>
    <s v="Cancelled"/>
    <n v="123800"/>
  </r>
  <r>
    <s v="ORD10579"/>
    <s v="CUST0433"/>
    <x v="189"/>
    <x v="0"/>
    <s v="Chennai"/>
    <x v="1"/>
    <s v="Keyboard"/>
    <n v="2"/>
    <n v="6300"/>
    <x v="1"/>
    <s v="Delivered"/>
    <n v="12600"/>
  </r>
  <r>
    <s v="ORD10580"/>
    <s v="CUST0131"/>
    <x v="83"/>
    <x v="0"/>
    <s v="Bengaluru"/>
    <x v="3"/>
    <s v="Football"/>
    <n v="1"/>
    <n v="5750"/>
    <x v="2"/>
    <s v="Delivered"/>
    <n v="5750"/>
  </r>
  <r>
    <s v="ORD10581"/>
    <s v="CUST0408"/>
    <x v="166"/>
    <x v="0"/>
    <s v="Vijayawada"/>
    <x v="4"/>
    <s v="Shampoo"/>
    <n v="2"/>
    <n v="4000"/>
    <x v="0"/>
    <s v="Delivered"/>
    <n v="8000"/>
  </r>
  <r>
    <s v="ORD10582"/>
    <s v="CUST0134"/>
    <x v="286"/>
    <x v="0"/>
    <s v="Bengaluru"/>
    <x v="4"/>
    <s v="Face Wash"/>
    <n v="1"/>
    <n v="500"/>
    <x v="2"/>
    <s v="Delivered"/>
    <n v="500"/>
  </r>
  <r>
    <s v="ORD10583"/>
    <s v="CUST0063"/>
    <x v="203"/>
    <x v="0"/>
    <s v="Bengaluru"/>
    <x v="1"/>
    <s v="Laptop"/>
    <n v="1"/>
    <n v="13800"/>
    <x v="1"/>
    <s v="Delivered"/>
    <n v="13800"/>
  </r>
  <r>
    <s v="ORD10584"/>
    <s v="CUST0216"/>
    <x v="139"/>
    <x v="3"/>
    <s v="Surat"/>
    <x v="4"/>
    <s v="Moisturizer"/>
    <n v="3"/>
    <n v="2500"/>
    <x v="2"/>
    <s v="Delivered"/>
    <n v="7500"/>
  </r>
  <r>
    <s v="ORD10585"/>
    <s v="CUST0337"/>
    <x v="287"/>
    <x v="0"/>
    <s v="Vijayawada"/>
    <x v="2"/>
    <s v="Watch"/>
    <n v="1"/>
    <n v="800"/>
    <x v="0"/>
    <s v="Delivered"/>
    <n v="800"/>
  </r>
  <r>
    <s v="ORD10586"/>
    <s v="CUST0078"/>
    <x v="288"/>
    <x v="0"/>
    <s v="Chennai"/>
    <x v="1"/>
    <s v="Smartphone"/>
    <n v="2"/>
    <n v="61050"/>
    <x v="1"/>
    <s v="Shipped"/>
    <n v="122100"/>
  </r>
  <r>
    <s v="ORD10587"/>
    <s v="CUST0246"/>
    <x v="60"/>
    <x v="3"/>
    <s v="Pune"/>
    <x v="0"/>
    <s v="Cookware Set"/>
    <n v="1"/>
    <n v="4600"/>
    <x v="0"/>
    <s v="Shipped"/>
    <n v="4600"/>
  </r>
  <r>
    <s v="ORD10588"/>
    <s v="CUST0143"/>
    <x v="61"/>
    <x v="0"/>
    <s v="Chennai"/>
    <x v="0"/>
    <s v="Water Bottle"/>
    <n v="1"/>
    <n v="7700"/>
    <x v="0"/>
    <s v="Delivered"/>
    <n v="7700"/>
  </r>
  <r>
    <s v="ORD10589"/>
    <s v="CUST0328"/>
    <x v="164"/>
    <x v="3"/>
    <s v="Mumbai"/>
    <x v="3"/>
    <s v="Dumbbells"/>
    <n v="1"/>
    <n v="1650"/>
    <x v="0"/>
    <s v="Delivered"/>
    <n v="1650"/>
  </r>
  <r>
    <s v="ORD10590"/>
    <s v="CUST0119"/>
    <x v="289"/>
    <x v="3"/>
    <s v="Ahmedabad"/>
    <x v="3"/>
    <s v="Cricket Bat"/>
    <n v="1"/>
    <n v="3400"/>
    <x v="1"/>
    <s v="Delivered"/>
    <n v="3400"/>
  </r>
  <r>
    <s v="ORD10591"/>
    <s v="CUST0426"/>
    <x v="117"/>
    <x v="3"/>
    <s v="Mumbai"/>
    <x v="2"/>
    <s v="Jeans"/>
    <n v="3"/>
    <n v="6400"/>
    <x v="2"/>
    <s v="Delivered"/>
    <n v="19200"/>
  </r>
  <r>
    <s v="ORD10592"/>
    <s v="CUST0125"/>
    <x v="290"/>
    <x v="2"/>
    <s v="Kolkata"/>
    <x v="0"/>
    <s v="Mixer Grinder"/>
    <n v="1"/>
    <n v="1350"/>
    <x v="1"/>
    <s v="Delivered"/>
    <n v="1350"/>
  </r>
  <r>
    <s v="ORD10593"/>
    <s v="CUST0212"/>
    <x v="180"/>
    <x v="3"/>
    <s v="Mumbai"/>
    <x v="0"/>
    <s v="Mixer Grinder"/>
    <n v="1"/>
    <n v="3800"/>
    <x v="0"/>
    <s v="Delivered"/>
    <n v="3800"/>
  </r>
  <r>
    <s v="ORD10594"/>
    <s v="CUST0306"/>
    <x v="271"/>
    <x v="1"/>
    <s v="Delhi"/>
    <x v="1"/>
    <s v="Headphones"/>
    <n v="1"/>
    <n v="43050"/>
    <x v="0"/>
    <s v="Delivered"/>
    <n v="43050"/>
  </r>
  <r>
    <s v="ORD10595"/>
    <s v="CUST0446"/>
    <x v="58"/>
    <x v="0"/>
    <s v="Bengaluru"/>
    <x v="3"/>
    <s v="Yoga Mat"/>
    <n v="3"/>
    <n v="8450"/>
    <x v="0"/>
    <s v="Shipped"/>
    <n v="25350"/>
  </r>
  <r>
    <s v="ORD10596"/>
    <s v="CUST0289"/>
    <x v="291"/>
    <x v="0"/>
    <s v="Vijayawada"/>
    <x v="2"/>
    <s v="Sneakers"/>
    <n v="1"/>
    <n v="2950"/>
    <x v="0"/>
    <s v="Delivered"/>
    <n v="2950"/>
  </r>
  <r>
    <s v="ORD10597"/>
    <s v="CUST0032"/>
    <x v="292"/>
    <x v="1"/>
    <s v="Chandigarh"/>
    <x v="1"/>
    <s v="Laptop"/>
    <n v="1"/>
    <n v="16100"/>
    <x v="2"/>
    <s v="Delivered"/>
    <n v="16100"/>
  </r>
  <r>
    <s v="ORD10598"/>
    <s v="CUST0232"/>
    <x v="80"/>
    <x v="3"/>
    <s v="Mumbai"/>
    <x v="2"/>
    <s v="Sneakers"/>
    <n v="3"/>
    <n v="800"/>
    <x v="0"/>
    <s v="Delivered"/>
    <n v="2400"/>
  </r>
  <r>
    <s v="ORD10599"/>
    <s v="CUST0110"/>
    <x v="287"/>
    <x v="0"/>
    <s v="Hyderabad"/>
    <x v="3"/>
    <s v="Cricket Bat"/>
    <n v="1"/>
    <n v="900"/>
    <x v="2"/>
    <s v="Delivered"/>
    <n v="900"/>
  </r>
  <r>
    <s v="ORD10600"/>
    <s v="CUST0164"/>
    <x v="26"/>
    <x v="2"/>
    <s v="Kolkata"/>
    <x v="0"/>
    <s v="Table Lamp"/>
    <n v="3"/>
    <n v="1100"/>
    <x v="4"/>
    <s v="Returned"/>
    <n v="3300"/>
  </r>
  <r>
    <s v="ORD10601"/>
    <s v="CUST0208"/>
    <x v="261"/>
    <x v="0"/>
    <s v="Chennai"/>
    <x v="2"/>
    <s v="T-Shirt"/>
    <n v="1"/>
    <n v="5600"/>
    <x v="0"/>
    <s v="Delivered"/>
    <n v="5600"/>
  </r>
  <r>
    <s v="ORD10602"/>
    <s v="CUST0339"/>
    <x v="121"/>
    <x v="0"/>
    <s v="Vijayawada"/>
    <x v="1"/>
    <s v="Smartphone"/>
    <n v="2"/>
    <n v="11750"/>
    <x v="0"/>
    <s v="Delivered"/>
    <n v="23500"/>
  </r>
  <r>
    <s v="ORD10603"/>
    <s v="CUST0258"/>
    <x v="250"/>
    <x v="0"/>
    <s v="Chennai"/>
    <x v="1"/>
    <s v="Monitor"/>
    <n v="1"/>
    <n v="7100"/>
    <x v="4"/>
    <s v="Delivered"/>
    <n v="7100"/>
  </r>
  <r>
    <s v="ORD10604"/>
    <s v="CUST0397"/>
    <x v="78"/>
    <x v="2"/>
    <s v="Guwahati"/>
    <x v="2"/>
    <s v="Jeans"/>
    <n v="2"/>
    <n v="1350"/>
    <x v="1"/>
    <s v="Delivered"/>
    <n v="2700"/>
  </r>
  <r>
    <s v="ORD10605"/>
    <s v="CUST0412"/>
    <x v="131"/>
    <x v="3"/>
    <s v="Mumbai"/>
    <x v="1"/>
    <s v="Keyboard"/>
    <n v="3"/>
    <n v="21050"/>
    <x v="2"/>
    <s v="Delivered"/>
    <n v="63150"/>
  </r>
  <r>
    <s v="ORD10606"/>
    <s v="CUST0341"/>
    <x v="34"/>
    <x v="3"/>
    <s v="Mumbai"/>
    <x v="0"/>
    <s v="Cookware Set"/>
    <n v="2"/>
    <n v="2100"/>
    <x v="4"/>
    <s v="Returned"/>
    <n v="4200"/>
  </r>
  <r>
    <s v="ORD10607"/>
    <s v="CUST0336"/>
    <x v="170"/>
    <x v="2"/>
    <s v="Kolkata"/>
    <x v="1"/>
    <s v="Monitor"/>
    <n v="1"/>
    <n v="9100"/>
    <x v="1"/>
    <s v="Delivered"/>
    <n v="9100"/>
  </r>
  <r>
    <s v="ORD10608"/>
    <s v="CUST0438"/>
    <x v="87"/>
    <x v="0"/>
    <s v="Bengaluru"/>
    <x v="1"/>
    <s v="Laptop"/>
    <n v="3"/>
    <n v="53200"/>
    <x v="0"/>
    <s v="Delivered"/>
    <n v="159600"/>
  </r>
  <r>
    <s v="ORD10609"/>
    <s v="CUST0075"/>
    <x v="159"/>
    <x v="0"/>
    <s v="Bengaluru"/>
    <x v="0"/>
    <s v="Water Bottle"/>
    <n v="1"/>
    <n v="1900"/>
    <x v="2"/>
    <s v="Shipped"/>
    <n v="1900"/>
  </r>
  <r>
    <s v="ORD10610"/>
    <s v="CUST0143"/>
    <x v="91"/>
    <x v="0"/>
    <s v="Vijayawada"/>
    <x v="0"/>
    <s v="Table Lamp"/>
    <n v="4"/>
    <n v="5750"/>
    <x v="4"/>
    <s v="Delivered"/>
    <n v="23000"/>
  </r>
  <r>
    <s v="ORD10611"/>
    <s v="CUST0292"/>
    <x v="122"/>
    <x v="1"/>
    <s v="Lucknow"/>
    <x v="0"/>
    <s v="Table Lamp"/>
    <n v="4"/>
    <n v="2050"/>
    <x v="3"/>
    <s v="Delivered"/>
    <n v="8200"/>
  </r>
  <r>
    <s v="ORD10612"/>
    <s v="CUST0121"/>
    <x v="217"/>
    <x v="3"/>
    <s v="Ahmedabad"/>
    <x v="0"/>
    <s v="Air Fryer"/>
    <n v="3"/>
    <n v="5850"/>
    <x v="1"/>
    <s v="Delivered"/>
    <n v="17550"/>
  </r>
  <r>
    <s v="ORD10613"/>
    <s v="CUST0069"/>
    <x v="117"/>
    <x v="1"/>
    <s v="Lucknow"/>
    <x v="4"/>
    <s v="Perfume"/>
    <n v="2"/>
    <n v="2350"/>
    <x v="0"/>
    <s v="Delivered"/>
    <n v="4700"/>
  </r>
  <r>
    <s v="ORD10614"/>
    <s v="CUST0049"/>
    <x v="202"/>
    <x v="0"/>
    <s v="Chennai"/>
    <x v="0"/>
    <s v="Air Fryer"/>
    <n v="2"/>
    <n v="750"/>
    <x v="3"/>
    <s v="Delivered"/>
    <n v="1500"/>
  </r>
  <r>
    <s v="ORD10615"/>
    <s v="CUST0382"/>
    <x v="151"/>
    <x v="3"/>
    <s v="Mumbai"/>
    <x v="4"/>
    <s v="Perfume"/>
    <n v="1"/>
    <n v="3000"/>
    <x v="4"/>
    <s v="Delivered"/>
    <n v="3000"/>
  </r>
  <r>
    <s v="ORD10616"/>
    <s v="CUST0399"/>
    <x v="293"/>
    <x v="1"/>
    <s v="Lucknow"/>
    <x v="0"/>
    <s v="Water Bottle"/>
    <n v="2"/>
    <n v="8200"/>
    <x v="2"/>
    <s v="Shipped"/>
    <n v="16400"/>
  </r>
  <r>
    <s v="ORD10617"/>
    <s v="CUST0305"/>
    <x v="253"/>
    <x v="1"/>
    <s v="Lucknow"/>
    <x v="0"/>
    <s v="Cookware Set"/>
    <n v="1"/>
    <n v="6350"/>
    <x v="3"/>
    <s v="Delivered"/>
    <n v="6350"/>
  </r>
  <r>
    <s v="ORD10618"/>
    <s v="CUST0016"/>
    <x v="259"/>
    <x v="2"/>
    <s v="Patna"/>
    <x v="2"/>
    <s v="Backpack"/>
    <n v="1"/>
    <n v="2100"/>
    <x v="0"/>
    <s v="Shipped"/>
    <n v="2100"/>
  </r>
  <r>
    <s v="ORD10619"/>
    <s v="CUST0308"/>
    <x v="294"/>
    <x v="1"/>
    <s v="Delhi"/>
    <x v="0"/>
    <s v="Mixer Grinder"/>
    <n v="2"/>
    <n v="5950"/>
    <x v="0"/>
    <s v="Delivered"/>
    <n v="11900"/>
  </r>
  <r>
    <s v="ORD10620"/>
    <s v="CUST0297"/>
    <x v="244"/>
    <x v="0"/>
    <s v="Vijayawada"/>
    <x v="0"/>
    <s v="Mixer Grinder"/>
    <n v="3"/>
    <n v="3550"/>
    <x v="0"/>
    <s v="Delivered"/>
    <n v="10650"/>
  </r>
  <r>
    <s v="ORD10621"/>
    <s v="CUST0231"/>
    <x v="227"/>
    <x v="0"/>
    <s v="Chennai"/>
    <x v="3"/>
    <s v="Cricket Bat"/>
    <n v="1"/>
    <n v="9850"/>
    <x v="0"/>
    <s v="Delivered"/>
    <n v="9850"/>
  </r>
  <r>
    <s v="ORD10622"/>
    <s v="CUST0166"/>
    <x v="262"/>
    <x v="0"/>
    <s v="Hyderabad"/>
    <x v="1"/>
    <s v="Headphones"/>
    <n v="1"/>
    <n v="50500"/>
    <x v="2"/>
    <s v="Delivered"/>
    <n v="50500"/>
  </r>
  <r>
    <s v="ORD10623"/>
    <s v="CUST0378"/>
    <x v="31"/>
    <x v="1"/>
    <s v="Delhi"/>
    <x v="1"/>
    <s v="Keyboard"/>
    <n v="3"/>
    <n v="49700"/>
    <x v="2"/>
    <s v="Delivered"/>
    <n v="149100"/>
  </r>
  <r>
    <s v="ORD10624"/>
    <s v="CUST0372"/>
    <x v="176"/>
    <x v="2"/>
    <s v="Bhubaneswar"/>
    <x v="0"/>
    <s v="Mixer Grinder"/>
    <n v="4"/>
    <n v="4500"/>
    <x v="0"/>
    <s v="Cancelled"/>
    <n v="18000"/>
  </r>
  <r>
    <s v="ORD10625"/>
    <s v="CUST0237"/>
    <x v="72"/>
    <x v="0"/>
    <s v="Bengaluru"/>
    <x v="3"/>
    <s v="Dumbbells"/>
    <n v="4"/>
    <n v="3600"/>
    <x v="3"/>
    <s v="Delivered"/>
    <n v="14400"/>
  </r>
  <r>
    <s v="ORD10626"/>
    <s v="CUST0184"/>
    <x v="105"/>
    <x v="3"/>
    <s v="Mumbai"/>
    <x v="0"/>
    <s v="Water Bottle"/>
    <n v="1"/>
    <n v="4700"/>
    <x v="0"/>
    <s v="Delivered"/>
    <n v="4700"/>
  </r>
  <r>
    <s v="ORD10627"/>
    <s v="CUST0191"/>
    <x v="159"/>
    <x v="0"/>
    <s v="Hyderabad"/>
    <x v="0"/>
    <s v="Table Lamp"/>
    <n v="3"/>
    <n v="300"/>
    <x v="4"/>
    <s v="Delivered"/>
    <n v="900"/>
  </r>
  <r>
    <s v="ORD10628"/>
    <s v="CUST0423"/>
    <x v="187"/>
    <x v="3"/>
    <s v="Ahmedabad"/>
    <x v="3"/>
    <s v="Running Shoes"/>
    <n v="1"/>
    <n v="2950"/>
    <x v="1"/>
    <s v="Delivered"/>
    <n v="2950"/>
  </r>
  <r>
    <s v="ORD10629"/>
    <s v="CUST0216"/>
    <x v="121"/>
    <x v="2"/>
    <s v="Guwahati"/>
    <x v="2"/>
    <s v="T-Shirt"/>
    <n v="5"/>
    <n v="1700"/>
    <x v="3"/>
    <s v="Delivered"/>
    <n v="8500"/>
  </r>
  <r>
    <s v="ORD10630"/>
    <s v="CUST0344"/>
    <x v="285"/>
    <x v="0"/>
    <s v="Hyderabad"/>
    <x v="1"/>
    <s v="Monitor"/>
    <n v="5"/>
    <n v="33850"/>
    <x v="1"/>
    <s v="Delivered"/>
    <n v="169250"/>
  </r>
  <r>
    <s v="ORD10631"/>
    <s v="CUST0214"/>
    <x v="47"/>
    <x v="2"/>
    <s v="Guwahati"/>
    <x v="1"/>
    <s v="Laptop"/>
    <n v="3"/>
    <n v="28450"/>
    <x v="2"/>
    <s v="Shipped"/>
    <n v="85350"/>
  </r>
  <r>
    <s v="ORD10632"/>
    <s v="CUST0446"/>
    <x v="278"/>
    <x v="3"/>
    <s v="Mumbai"/>
    <x v="0"/>
    <s v="Cookware Set"/>
    <n v="2"/>
    <n v="2200"/>
    <x v="0"/>
    <s v="Delivered"/>
    <n v="4400"/>
  </r>
  <r>
    <s v="ORD10633"/>
    <s v="CUST0428"/>
    <x v="185"/>
    <x v="2"/>
    <s v="Guwahati"/>
    <x v="2"/>
    <s v="Jeans"/>
    <n v="3"/>
    <n v="4750"/>
    <x v="0"/>
    <s v="Delivered"/>
    <n v="14250"/>
  </r>
  <r>
    <s v="ORD10634"/>
    <s v="CUST0200"/>
    <x v="295"/>
    <x v="0"/>
    <s v="Bengaluru"/>
    <x v="2"/>
    <s v="Jeans"/>
    <n v="1"/>
    <n v="1400"/>
    <x v="2"/>
    <s v="Delivered"/>
    <n v="1400"/>
  </r>
  <r>
    <s v="ORD10635"/>
    <s v="CUST0194"/>
    <x v="200"/>
    <x v="0"/>
    <s v="Vijayawada"/>
    <x v="2"/>
    <s v="Jeans"/>
    <n v="3"/>
    <n v="5650"/>
    <x v="0"/>
    <s v="Cancelled"/>
    <n v="16950"/>
  </r>
  <r>
    <s v="ORD10636"/>
    <s v="CUST0140"/>
    <x v="247"/>
    <x v="0"/>
    <s v="Chennai"/>
    <x v="1"/>
    <s v="Keyboard"/>
    <n v="1"/>
    <n v="3850"/>
    <x v="0"/>
    <s v="Delivered"/>
    <n v="3850"/>
  </r>
  <r>
    <s v="ORD10637"/>
    <s v="CUST0122"/>
    <x v="104"/>
    <x v="0"/>
    <s v="Vijayawada"/>
    <x v="0"/>
    <s v="Air Fryer"/>
    <n v="1"/>
    <n v="8800"/>
    <x v="2"/>
    <s v="Delivered"/>
    <n v="8800"/>
  </r>
  <r>
    <s v="ORD10638"/>
    <s v="CUST0045"/>
    <x v="1"/>
    <x v="3"/>
    <s v="Surat"/>
    <x v="1"/>
    <s v="Laptop"/>
    <n v="2"/>
    <n v="25200"/>
    <x v="0"/>
    <s v="Delivered"/>
    <n v="50400"/>
  </r>
  <r>
    <s v="ORD10639"/>
    <s v="CUST0342"/>
    <x v="220"/>
    <x v="2"/>
    <s v="Bhubaneswar"/>
    <x v="1"/>
    <s v="Smartphone"/>
    <n v="1"/>
    <n v="53100"/>
    <x v="0"/>
    <s v="Cancelled"/>
    <n v="53100"/>
  </r>
  <r>
    <s v="ORD10640"/>
    <s v="CUST0088"/>
    <x v="104"/>
    <x v="0"/>
    <s v="Vijayawada"/>
    <x v="1"/>
    <s v="Headphones"/>
    <n v="1"/>
    <n v="14850"/>
    <x v="3"/>
    <s v="Delivered"/>
    <n v="14850"/>
  </r>
  <r>
    <s v="ORD10641"/>
    <s v="CUST0152"/>
    <x v="19"/>
    <x v="1"/>
    <s v="Jaipur"/>
    <x v="1"/>
    <s v="Monitor"/>
    <n v="2"/>
    <n v="1200"/>
    <x v="0"/>
    <s v="Shipped"/>
    <n v="2400"/>
  </r>
  <r>
    <s v="ORD10642"/>
    <s v="CUST0302"/>
    <x v="296"/>
    <x v="0"/>
    <s v="Bengaluru"/>
    <x v="0"/>
    <s v="Table Lamp"/>
    <n v="1"/>
    <n v="3400"/>
    <x v="2"/>
    <s v="Delivered"/>
    <n v="3400"/>
  </r>
  <r>
    <s v="ORD10643"/>
    <s v="CUST0308"/>
    <x v="59"/>
    <x v="0"/>
    <s v="Hyderabad"/>
    <x v="1"/>
    <s v="Laptop"/>
    <n v="2"/>
    <n v="4600"/>
    <x v="0"/>
    <s v="Delivered"/>
    <n v="9200"/>
  </r>
  <r>
    <s v="ORD10644"/>
    <s v="CUST0084"/>
    <x v="278"/>
    <x v="1"/>
    <s v="Lucknow"/>
    <x v="2"/>
    <s v="Jeans"/>
    <n v="1"/>
    <n v="6550"/>
    <x v="2"/>
    <s v="Delivered"/>
    <n v="6550"/>
  </r>
  <r>
    <s v="ORD10645"/>
    <s v="CUST0336"/>
    <x v="20"/>
    <x v="0"/>
    <s v="Hyderabad"/>
    <x v="3"/>
    <s v="Yoga Mat"/>
    <n v="4"/>
    <n v="6300"/>
    <x v="0"/>
    <s v="Delivered"/>
    <n v="25200"/>
  </r>
  <r>
    <s v="ORD10646"/>
    <s v="CUST0162"/>
    <x v="70"/>
    <x v="0"/>
    <s v="Bengaluru"/>
    <x v="1"/>
    <s v="Monitor"/>
    <n v="3"/>
    <n v="37950"/>
    <x v="2"/>
    <s v="Delivered"/>
    <n v="113850"/>
  </r>
  <r>
    <s v="ORD10647"/>
    <s v="CUST0434"/>
    <x v="106"/>
    <x v="1"/>
    <s v="Delhi"/>
    <x v="1"/>
    <s v="Monitor"/>
    <n v="1"/>
    <n v="20650"/>
    <x v="2"/>
    <s v="Delivered"/>
    <n v="20650"/>
  </r>
  <r>
    <s v="ORD10648"/>
    <s v="CUST0340"/>
    <x v="3"/>
    <x v="2"/>
    <s v="Kolkata"/>
    <x v="0"/>
    <s v="Table Lamp"/>
    <n v="2"/>
    <n v="2900"/>
    <x v="0"/>
    <s v="Cancelled"/>
    <n v="5800"/>
  </r>
  <r>
    <s v="ORD10649"/>
    <s v="CUST0274"/>
    <x v="91"/>
    <x v="2"/>
    <s v="Kolkata"/>
    <x v="0"/>
    <s v="Mixer Grinder"/>
    <n v="1"/>
    <n v="6950"/>
    <x v="3"/>
    <s v="Delivered"/>
    <n v="6950"/>
  </r>
  <r>
    <s v="ORD10650"/>
    <s v="CUST0087"/>
    <x v="297"/>
    <x v="1"/>
    <s v="Lucknow"/>
    <x v="1"/>
    <s v="Headphones"/>
    <n v="1"/>
    <n v="19750"/>
    <x v="2"/>
    <s v="Returned"/>
    <n v="19750"/>
  </r>
  <r>
    <s v="ORD10651"/>
    <s v="CUST0181"/>
    <x v="244"/>
    <x v="1"/>
    <s v="Jaipur"/>
    <x v="1"/>
    <s v="Monitor"/>
    <n v="1"/>
    <n v="34650"/>
    <x v="0"/>
    <s v="Delivered"/>
    <n v="34650"/>
  </r>
  <r>
    <s v="ORD10652"/>
    <s v="CUST0187"/>
    <x v="298"/>
    <x v="0"/>
    <s v="Bengaluru"/>
    <x v="3"/>
    <s v="Dumbbells"/>
    <n v="1"/>
    <n v="6400"/>
    <x v="2"/>
    <s v="Cancelled"/>
    <n v="6400"/>
  </r>
  <r>
    <s v="ORD10653"/>
    <s v="CUST0182"/>
    <x v="299"/>
    <x v="3"/>
    <s v="Ahmedabad"/>
    <x v="0"/>
    <s v="Cookware Set"/>
    <n v="2"/>
    <n v="4200"/>
    <x v="2"/>
    <s v="Cancelled"/>
    <n v="8400"/>
  </r>
  <r>
    <s v="ORD10654"/>
    <s v="CUST0411"/>
    <x v="177"/>
    <x v="1"/>
    <s v="Chandigarh"/>
    <x v="1"/>
    <s v="Keyboard"/>
    <n v="4"/>
    <n v="18650"/>
    <x v="0"/>
    <s v="Delivered"/>
    <n v="74600"/>
  </r>
  <r>
    <s v="ORD10655"/>
    <s v="CUST0412"/>
    <x v="278"/>
    <x v="0"/>
    <s v="Chennai"/>
    <x v="0"/>
    <s v="Air Fryer"/>
    <n v="3"/>
    <n v="6200"/>
    <x v="2"/>
    <s v="Delivered"/>
    <n v="18600"/>
  </r>
  <r>
    <s v="ORD10656"/>
    <s v="CUST0069"/>
    <x v="300"/>
    <x v="1"/>
    <s v="Lucknow"/>
    <x v="4"/>
    <s v="Moisturizer"/>
    <n v="1"/>
    <n v="1200"/>
    <x v="0"/>
    <s v="Delivered"/>
    <n v="1200"/>
  </r>
  <r>
    <s v="ORD10657"/>
    <s v="CUST0326"/>
    <x v="301"/>
    <x v="3"/>
    <s v="Ahmedabad"/>
    <x v="0"/>
    <s v="Cookware Set"/>
    <n v="1"/>
    <n v="5850"/>
    <x v="2"/>
    <s v="Delivered"/>
    <n v="5850"/>
  </r>
  <r>
    <s v="ORD10658"/>
    <s v="CUST0261"/>
    <x v="287"/>
    <x v="0"/>
    <s v="Hyderabad"/>
    <x v="3"/>
    <s v="Dumbbells"/>
    <n v="2"/>
    <n v="7600"/>
    <x v="0"/>
    <s v="Delivered"/>
    <n v="15200"/>
  </r>
  <r>
    <s v="ORD10659"/>
    <s v="CUST0149"/>
    <x v="229"/>
    <x v="0"/>
    <s v="Chennai"/>
    <x v="2"/>
    <s v="T-Shirt"/>
    <n v="3"/>
    <n v="7000"/>
    <x v="2"/>
    <s v="Delivered"/>
    <n v="21000"/>
  </r>
  <r>
    <s v="ORD10660"/>
    <s v="CUST0199"/>
    <x v="145"/>
    <x v="0"/>
    <s v="Chennai"/>
    <x v="2"/>
    <s v="Jeans"/>
    <n v="4"/>
    <n v="1450"/>
    <x v="0"/>
    <s v="Delivered"/>
    <n v="5800"/>
  </r>
  <r>
    <s v="ORD10661"/>
    <s v="CUST0249"/>
    <x v="196"/>
    <x v="3"/>
    <s v="Mumbai"/>
    <x v="0"/>
    <s v="Water Bottle"/>
    <n v="1"/>
    <n v="6900"/>
    <x v="3"/>
    <s v="Delivered"/>
    <n v="6900"/>
  </r>
  <r>
    <s v="ORD10662"/>
    <s v="CUST0407"/>
    <x v="237"/>
    <x v="3"/>
    <s v="Pune"/>
    <x v="2"/>
    <s v="Jeans"/>
    <n v="1"/>
    <n v="1800"/>
    <x v="0"/>
    <s v="Delivered"/>
    <n v="1800"/>
  </r>
  <r>
    <s v="ORD10663"/>
    <s v="CUST0216"/>
    <x v="40"/>
    <x v="0"/>
    <s v="Chennai"/>
    <x v="1"/>
    <s v="Keyboard"/>
    <n v="1"/>
    <n v="53400"/>
    <x v="0"/>
    <s v="Delivered"/>
    <n v="53400"/>
  </r>
  <r>
    <s v="ORD10664"/>
    <s v="CUST0361"/>
    <x v="47"/>
    <x v="3"/>
    <s v="Surat"/>
    <x v="0"/>
    <s v="Mixer Grinder"/>
    <n v="2"/>
    <n v="6500"/>
    <x v="3"/>
    <s v="Delivered"/>
    <n v="13000"/>
  </r>
  <r>
    <s v="ORD10665"/>
    <s v="CUST0125"/>
    <x v="70"/>
    <x v="3"/>
    <s v="Mumbai"/>
    <x v="2"/>
    <s v="Jeans"/>
    <n v="1"/>
    <n v="5100"/>
    <x v="2"/>
    <s v="Delivered"/>
    <n v="5100"/>
  </r>
  <r>
    <s v="ORD10666"/>
    <s v="CUST0404"/>
    <x v="278"/>
    <x v="3"/>
    <s v="Pune"/>
    <x v="2"/>
    <s v="Jeans"/>
    <n v="2"/>
    <n v="950"/>
    <x v="3"/>
    <s v="Delivered"/>
    <n v="1900"/>
  </r>
  <r>
    <s v="ORD10667"/>
    <s v="CUST0259"/>
    <x v="100"/>
    <x v="3"/>
    <s v="Mumbai"/>
    <x v="3"/>
    <s v="Running Shoes"/>
    <n v="1"/>
    <n v="4600"/>
    <x v="4"/>
    <s v="Delivered"/>
    <n v="4600"/>
  </r>
  <r>
    <s v="ORD10668"/>
    <s v="CUST0016"/>
    <x v="181"/>
    <x v="0"/>
    <s v="Hyderabad"/>
    <x v="4"/>
    <s v="Perfume"/>
    <n v="1"/>
    <n v="1200"/>
    <x v="1"/>
    <s v="Delivered"/>
    <n v="1200"/>
  </r>
  <r>
    <s v="ORD10669"/>
    <s v="CUST0394"/>
    <x v="302"/>
    <x v="0"/>
    <s v="Hyderabad"/>
    <x v="2"/>
    <s v="T-Shirt"/>
    <n v="1"/>
    <n v="6150"/>
    <x v="2"/>
    <s v="Delivered"/>
    <n v="6150"/>
  </r>
  <r>
    <s v="ORD10670"/>
    <s v="CUST0161"/>
    <x v="223"/>
    <x v="0"/>
    <s v="Chennai"/>
    <x v="0"/>
    <s v="Mixer Grinder"/>
    <n v="1"/>
    <n v="7550"/>
    <x v="0"/>
    <s v="Cancelled"/>
    <n v="7550"/>
  </r>
  <r>
    <s v="ORD10671"/>
    <s v="CUST0333"/>
    <x v="49"/>
    <x v="2"/>
    <s v="Patna"/>
    <x v="3"/>
    <s v="Cricket Bat"/>
    <n v="2"/>
    <n v="2600"/>
    <x v="1"/>
    <s v="Delivered"/>
    <n v="5200"/>
  </r>
  <r>
    <s v="ORD10672"/>
    <s v="CUST0325"/>
    <x v="20"/>
    <x v="0"/>
    <s v="Bengaluru"/>
    <x v="0"/>
    <s v="Water Bottle"/>
    <n v="2"/>
    <n v="3200"/>
    <x v="2"/>
    <s v="Delivered"/>
    <n v="6400"/>
  </r>
  <r>
    <s v="ORD10673"/>
    <s v="CUST0434"/>
    <x v="179"/>
    <x v="3"/>
    <s v="Mumbai"/>
    <x v="0"/>
    <s v="Water Bottle"/>
    <n v="1"/>
    <n v="1100"/>
    <x v="4"/>
    <s v="Shipped"/>
    <n v="1100"/>
  </r>
  <r>
    <s v="ORD10674"/>
    <s v="CUST0273"/>
    <x v="303"/>
    <x v="3"/>
    <s v="Surat"/>
    <x v="0"/>
    <s v="Air Fryer"/>
    <n v="1"/>
    <n v="750"/>
    <x v="0"/>
    <s v="Delivered"/>
    <n v="750"/>
  </r>
  <r>
    <s v="ORD10675"/>
    <s v="CUST0353"/>
    <x v="154"/>
    <x v="2"/>
    <s v="Bhubaneswar"/>
    <x v="2"/>
    <s v="Sneakers"/>
    <n v="1"/>
    <n v="3000"/>
    <x v="0"/>
    <s v="Delivered"/>
    <n v="3000"/>
  </r>
  <r>
    <s v="ORD10676"/>
    <s v="CUST0388"/>
    <x v="304"/>
    <x v="0"/>
    <s v="Vijayawada"/>
    <x v="1"/>
    <s v="Smartphone"/>
    <n v="1"/>
    <n v="18400"/>
    <x v="3"/>
    <s v="Shipped"/>
    <n v="18400"/>
  </r>
  <r>
    <s v="ORD10677"/>
    <s v="CUST0362"/>
    <x v="305"/>
    <x v="0"/>
    <s v="Hyderabad"/>
    <x v="0"/>
    <s v="Cookware Set"/>
    <n v="1"/>
    <n v="1100"/>
    <x v="4"/>
    <s v="Returned"/>
    <n v="1100"/>
  </r>
  <r>
    <s v="ORD10678"/>
    <s v="CUST0390"/>
    <x v="94"/>
    <x v="0"/>
    <s v="Hyderabad"/>
    <x v="2"/>
    <s v="Backpack"/>
    <n v="1"/>
    <n v="2450"/>
    <x v="0"/>
    <s v="Delivered"/>
    <n v="2450"/>
  </r>
  <r>
    <s v="ORD10679"/>
    <s v="CUST0114"/>
    <x v="156"/>
    <x v="0"/>
    <s v="Bengaluru"/>
    <x v="4"/>
    <s v="Hair Dryer"/>
    <n v="3"/>
    <n v="900"/>
    <x v="0"/>
    <s v="Delivered"/>
    <n v="2700"/>
  </r>
  <r>
    <s v="ORD10680"/>
    <s v="CUST0196"/>
    <x v="306"/>
    <x v="1"/>
    <s v="Jaipur"/>
    <x v="1"/>
    <s v="Headphones"/>
    <n v="3"/>
    <n v="18050"/>
    <x v="4"/>
    <s v="Delivered"/>
    <n v="54150"/>
  </r>
  <r>
    <s v="ORD10681"/>
    <s v="CUST0032"/>
    <x v="80"/>
    <x v="0"/>
    <s v="Bengaluru"/>
    <x v="3"/>
    <s v="Dumbbells"/>
    <n v="1"/>
    <n v="8050"/>
    <x v="4"/>
    <s v="Returned"/>
    <n v="8050"/>
  </r>
  <r>
    <s v="ORD10682"/>
    <s v="CUST0003"/>
    <x v="203"/>
    <x v="0"/>
    <s v="Chennai"/>
    <x v="0"/>
    <s v="Air Fryer"/>
    <n v="1"/>
    <n v="2050"/>
    <x v="0"/>
    <s v="Delivered"/>
    <n v="2050"/>
  </r>
  <r>
    <s v="ORD10683"/>
    <s v="CUST0064"/>
    <x v="73"/>
    <x v="2"/>
    <s v="Patna"/>
    <x v="0"/>
    <s v="Table Lamp"/>
    <n v="1"/>
    <n v="7450"/>
    <x v="0"/>
    <s v="Delivered"/>
    <n v="7450"/>
  </r>
  <r>
    <s v="ORD10684"/>
    <s v="CUST0171"/>
    <x v="214"/>
    <x v="0"/>
    <s v="Hyderabad"/>
    <x v="2"/>
    <s v="Jeans"/>
    <n v="1"/>
    <n v="6800"/>
    <x v="1"/>
    <s v="Delivered"/>
    <n v="6800"/>
  </r>
  <r>
    <s v="ORD10685"/>
    <s v="CUST0305"/>
    <x v="142"/>
    <x v="2"/>
    <s v="Bhubaneswar"/>
    <x v="2"/>
    <s v="Sneakers"/>
    <n v="3"/>
    <n v="5250"/>
    <x v="0"/>
    <s v="Delivered"/>
    <n v="15750"/>
  </r>
  <r>
    <s v="ORD10686"/>
    <s v="CUST0044"/>
    <x v="222"/>
    <x v="3"/>
    <s v="Ahmedabad"/>
    <x v="4"/>
    <s v="Perfume"/>
    <n v="1"/>
    <n v="4550"/>
    <x v="1"/>
    <s v="Delivered"/>
    <n v="4550"/>
  </r>
  <r>
    <s v="ORD10687"/>
    <s v="CUST0276"/>
    <x v="122"/>
    <x v="0"/>
    <s v="Hyderabad"/>
    <x v="1"/>
    <s v="Smartphone"/>
    <n v="2"/>
    <n v="21300"/>
    <x v="0"/>
    <s v="Returned"/>
    <n v="42600"/>
  </r>
  <r>
    <s v="ORD10688"/>
    <s v="CUST0083"/>
    <x v="307"/>
    <x v="3"/>
    <s v="Surat"/>
    <x v="2"/>
    <s v="Sneakers"/>
    <n v="4"/>
    <n v="5650"/>
    <x v="1"/>
    <s v="Delivered"/>
    <n v="22600"/>
  </r>
  <r>
    <s v="ORD10689"/>
    <s v="CUST0352"/>
    <x v="52"/>
    <x v="3"/>
    <s v="Ahmedabad"/>
    <x v="4"/>
    <s v="Perfume"/>
    <n v="1"/>
    <n v="4400"/>
    <x v="4"/>
    <s v="Delivered"/>
    <n v="4400"/>
  </r>
  <r>
    <s v="ORD10690"/>
    <s v="CUST0107"/>
    <x v="33"/>
    <x v="3"/>
    <s v="Mumbai"/>
    <x v="0"/>
    <s v="Air Fryer"/>
    <n v="2"/>
    <n v="5300"/>
    <x v="1"/>
    <s v="Delivered"/>
    <n v="10600"/>
  </r>
  <r>
    <s v="ORD10691"/>
    <s v="CUST0241"/>
    <x v="215"/>
    <x v="0"/>
    <s v="Bengaluru"/>
    <x v="1"/>
    <s v="Smartphone"/>
    <n v="2"/>
    <n v="59300"/>
    <x v="2"/>
    <s v="Delivered"/>
    <n v="118600"/>
  </r>
  <r>
    <s v="ORD10692"/>
    <s v="CUST0186"/>
    <x v="277"/>
    <x v="3"/>
    <s v="Ahmedabad"/>
    <x v="4"/>
    <s v="Shampoo"/>
    <n v="2"/>
    <n v="3650"/>
    <x v="0"/>
    <s v="Delivered"/>
    <n v="7300"/>
  </r>
  <r>
    <s v="ORD10693"/>
    <s v="CUST0089"/>
    <x v="225"/>
    <x v="1"/>
    <s v="Lucknow"/>
    <x v="3"/>
    <s v="Cricket Bat"/>
    <n v="3"/>
    <n v="6550"/>
    <x v="2"/>
    <s v="Delivered"/>
    <n v="19650"/>
  </r>
  <r>
    <s v="ORD10694"/>
    <s v="CUST0186"/>
    <x v="63"/>
    <x v="3"/>
    <s v="Ahmedabad"/>
    <x v="0"/>
    <s v="Air Fryer"/>
    <n v="1"/>
    <n v="700"/>
    <x v="3"/>
    <s v="Cancelled"/>
    <n v="700"/>
  </r>
  <r>
    <s v="ORD10695"/>
    <s v="CUST0210"/>
    <x v="278"/>
    <x v="0"/>
    <s v="Vijayawada"/>
    <x v="1"/>
    <s v="Monitor"/>
    <n v="1"/>
    <n v="55700"/>
    <x v="1"/>
    <s v="Delivered"/>
    <n v="55700"/>
  </r>
  <r>
    <s v="ORD10696"/>
    <s v="CUST0029"/>
    <x v="267"/>
    <x v="3"/>
    <s v="Ahmedabad"/>
    <x v="0"/>
    <s v="Cookware Set"/>
    <n v="1"/>
    <n v="2800"/>
    <x v="4"/>
    <s v="Delivered"/>
    <n v="2800"/>
  </r>
  <r>
    <s v="ORD10697"/>
    <s v="CUST0314"/>
    <x v="163"/>
    <x v="0"/>
    <s v="Hyderabad"/>
    <x v="1"/>
    <s v="Laptop"/>
    <n v="1"/>
    <n v="26850"/>
    <x v="2"/>
    <s v="Returned"/>
    <n v="26850"/>
  </r>
  <r>
    <s v="ORD10698"/>
    <s v="CUST0258"/>
    <x v="42"/>
    <x v="0"/>
    <s v="Hyderabad"/>
    <x v="3"/>
    <s v="Running Shoes"/>
    <n v="3"/>
    <n v="700"/>
    <x v="4"/>
    <s v="Delivered"/>
    <n v="2100"/>
  </r>
  <r>
    <s v="ORD10699"/>
    <s v="CUST0323"/>
    <x v="66"/>
    <x v="1"/>
    <s v="Delhi"/>
    <x v="1"/>
    <s v="Monitor"/>
    <n v="3"/>
    <n v="10950"/>
    <x v="1"/>
    <s v="Delivered"/>
    <n v="32850"/>
  </r>
  <r>
    <s v="ORD10700"/>
    <s v="CUST0028"/>
    <x v="104"/>
    <x v="3"/>
    <s v="Mumbai"/>
    <x v="3"/>
    <s v="Dumbbells"/>
    <n v="1"/>
    <n v="8500"/>
    <x v="2"/>
    <s v="Delivered"/>
    <n v="8500"/>
  </r>
  <r>
    <s v="ORD10701"/>
    <s v="CUST0069"/>
    <x v="234"/>
    <x v="2"/>
    <s v="Guwahati"/>
    <x v="3"/>
    <s v="Cricket Bat"/>
    <n v="1"/>
    <n v="8250"/>
    <x v="2"/>
    <s v="Returned"/>
    <n v="8250"/>
  </r>
  <r>
    <s v="ORD10702"/>
    <s v="CUST0220"/>
    <x v="73"/>
    <x v="1"/>
    <s v="Jaipur"/>
    <x v="3"/>
    <s v="Football"/>
    <n v="2"/>
    <n v="5600"/>
    <x v="1"/>
    <s v="Delivered"/>
    <n v="11200"/>
  </r>
  <r>
    <s v="ORD10703"/>
    <s v="CUST0180"/>
    <x v="36"/>
    <x v="0"/>
    <s v="Hyderabad"/>
    <x v="2"/>
    <s v="T-Shirt"/>
    <n v="1"/>
    <n v="500"/>
    <x v="2"/>
    <s v="Delivered"/>
    <n v="500"/>
  </r>
  <r>
    <s v="ORD10704"/>
    <s v="CUST0323"/>
    <x v="297"/>
    <x v="0"/>
    <s v="Bengaluru"/>
    <x v="0"/>
    <s v="Table Lamp"/>
    <n v="3"/>
    <n v="1350"/>
    <x v="0"/>
    <s v="Delivered"/>
    <n v="4050"/>
  </r>
  <r>
    <s v="ORD10705"/>
    <s v="CUST0278"/>
    <x v="308"/>
    <x v="2"/>
    <s v="Guwahati"/>
    <x v="2"/>
    <s v="Watch"/>
    <n v="1"/>
    <n v="5000"/>
    <x v="1"/>
    <s v="Delivered"/>
    <n v="5000"/>
  </r>
  <r>
    <s v="ORD10706"/>
    <s v="CUST0434"/>
    <x v="243"/>
    <x v="3"/>
    <s v="Surat"/>
    <x v="1"/>
    <s v="Monitor"/>
    <n v="1"/>
    <n v="32950"/>
    <x v="1"/>
    <s v="Delivered"/>
    <n v="32950"/>
  </r>
  <r>
    <s v="ORD10707"/>
    <s v="CUST0216"/>
    <x v="148"/>
    <x v="0"/>
    <s v="Hyderabad"/>
    <x v="2"/>
    <s v="Jeans"/>
    <n v="3"/>
    <n v="6900"/>
    <x v="0"/>
    <s v="Delivered"/>
    <n v="20700"/>
  </r>
  <r>
    <s v="ORD10708"/>
    <s v="CUST0319"/>
    <x v="213"/>
    <x v="0"/>
    <s v="Bengaluru"/>
    <x v="0"/>
    <s v="Air Fryer"/>
    <n v="1"/>
    <n v="5700"/>
    <x v="1"/>
    <s v="Delivered"/>
    <n v="5700"/>
  </r>
  <r>
    <s v="ORD10709"/>
    <s v="CUST0016"/>
    <x v="282"/>
    <x v="3"/>
    <s v="Pune"/>
    <x v="1"/>
    <s v="Laptop"/>
    <n v="3"/>
    <n v="8850"/>
    <x v="2"/>
    <s v="Delivered"/>
    <n v="26550"/>
  </r>
  <r>
    <s v="ORD10710"/>
    <s v="CUST0057"/>
    <x v="309"/>
    <x v="1"/>
    <s v="Delhi"/>
    <x v="1"/>
    <s v="Smartphone"/>
    <n v="2"/>
    <n v="7500"/>
    <x v="3"/>
    <s v="Cancelled"/>
    <n v="15000"/>
  </r>
  <r>
    <s v="ORD10711"/>
    <s v="CUST0231"/>
    <x v="291"/>
    <x v="3"/>
    <s v="Mumbai"/>
    <x v="2"/>
    <s v="Backpack"/>
    <n v="1"/>
    <n v="4150"/>
    <x v="2"/>
    <s v="Shipped"/>
    <n v="4150"/>
  </r>
  <r>
    <s v="ORD10712"/>
    <s v="CUST0196"/>
    <x v="310"/>
    <x v="3"/>
    <s v="Ahmedabad"/>
    <x v="2"/>
    <s v="Watch"/>
    <n v="3"/>
    <n v="2200"/>
    <x v="2"/>
    <s v="Delivered"/>
    <n v="6600"/>
  </r>
  <r>
    <s v="ORD10713"/>
    <s v="CUST0272"/>
    <x v="282"/>
    <x v="0"/>
    <s v="Vijayawada"/>
    <x v="1"/>
    <s v="Headphones"/>
    <n v="1"/>
    <n v="11550"/>
    <x v="0"/>
    <s v="Delivered"/>
    <n v="11550"/>
  </r>
  <r>
    <s v="ORD10714"/>
    <s v="CUST0283"/>
    <x v="198"/>
    <x v="0"/>
    <s v="Hyderabad"/>
    <x v="2"/>
    <s v="Backpack"/>
    <n v="1"/>
    <n v="7750"/>
    <x v="0"/>
    <s v="Delivered"/>
    <n v="7750"/>
  </r>
  <r>
    <s v="ORD10715"/>
    <s v="CUST0198"/>
    <x v="311"/>
    <x v="3"/>
    <s v="Pune"/>
    <x v="1"/>
    <s v="Keyboard"/>
    <n v="3"/>
    <n v="27650"/>
    <x v="0"/>
    <s v="Delivered"/>
    <n v="82950"/>
  </r>
  <r>
    <s v="ORD10716"/>
    <s v="CUST0315"/>
    <x v="121"/>
    <x v="2"/>
    <s v="Bhubaneswar"/>
    <x v="4"/>
    <s v="Hair Dryer"/>
    <n v="1"/>
    <n v="3500"/>
    <x v="3"/>
    <s v="Delivered"/>
    <n v="3500"/>
  </r>
  <r>
    <s v="ORD10717"/>
    <s v="CUST0025"/>
    <x v="12"/>
    <x v="1"/>
    <s v="Chandigarh"/>
    <x v="1"/>
    <s v="Laptop"/>
    <n v="1"/>
    <n v="5950"/>
    <x v="4"/>
    <s v="Returned"/>
    <n v="5950"/>
  </r>
  <r>
    <s v="ORD10718"/>
    <s v="CUST0362"/>
    <x v="35"/>
    <x v="0"/>
    <s v="Hyderabad"/>
    <x v="3"/>
    <s v="Cricket Bat"/>
    <n v="2"/>
    <n v="7150"/>
    <x v="4"/>
    <s v="Delivered"/>
    <n v="14300"/>
  </r>
  <r>
    <s v="ORD10719"/>
    <s v="CUST0087"/>
    <x v="7"/>
    <x v="0"/>
    <s v="Chennai"/>
    <x v="1"/>
    <s v="Headphones"/>
    <n v="3"/>
    <n v="64950"/>
    <x v="1"/>
    <s v="Delivered"/>
    <n v="194850"/>
  </r>
  <r>
    <s v="ORD10720"/>
    <s v="CUST0388"/>
    <x v="182"/>
    <x v="0"/>
    <s v="Hyderabad"/>
    <x v="0"/>
    <s v="Table Lamp"/>
    <n v="1"/>
    <n v="4950"/>
    <x v="0"/>
    <s v="Delivered"/>
    <n v="4950"/>
  </r>
  <r>
    <s v="ORD10721"/>
    <s v="CUST0274"/>
    <x v="312"/>
    <x v="3"/>
    <s v="Ahmedabad"/>
    <x v="3"/>
    <s v="Football"/>
    <n v="5"/>
    <n v="5000"/>
    <x v="1"/>
    <s v="Delivered"/>
    <n v="25000"/>
  </r>
  <r>
    <s v="ORD10722"/>
    <s v="CUST0440"/>
    <x v="302"/>
    <x v="3"/>
    <s v="Ahmedabad"/>
    <x v="1"/>
    <s v="Smartphone"/>
    <n v="2"/>
    <n v="11950"/>
    <x v="0"/>
    <s v="Delivered"/>
    <n v="23900"/>
  </r>
  <r>
    <s v="ORD10723"/>
    <s v="CUST0306"/>
    <x v="45"/>
    <x v="3"/>
    <s v="Ahmedabad"/>
    <x v="1"/>
    <s v="Headphones"/>
    <n v="3"/>
    <n v="9450"/>
    <x v="0"/>
    <s v="Delivered"/>
    <n v="28350"/>
  </r>
  <r>
    <s v="ORD10724"/>
    <s v="CUST0353"/>
    <x v="111"/>
    <x v="0"/>
    <s v="Vijayawada"/>
    <x v="0"/>
    <s v="Cookware Set"/>
    <n v="5"/>
    <n v="3800"/>
    <x v="0"/>
    <s v="Delivered"/>
    <n v="19000"/>
  </r>
  <r>
    <s v="ORD10725"/>
    <s v="CUST0322"/>
    <x v="116"/>
    <x v="2"/>
    <s v="Bhubaneswar"/>
    <x v="1"/>
    <s v="Laptop"/>
    <n v="1"/>
    <n v="57650"/>
    <x v="3"/>
    <s v="Delivered"/>
    <n v="57650"/>
  </r>
  <r>
    <s v="ORD10726"/>
    <s v="CUST0326"/>
    <x v="124"/>
    <x v="0"/>
    <s v="Chennai"/>
    <x v="4"/>
    <s v="Hair Dryer"/>
    <n v="1"/>
    <n v="750"/>
    <x v="0"/>
    <s v="Delivered"/>
    <n v="750"/>
  </r>
  <r>
    <s v="ORD10727"/>
    <s v="CUST0246"/>
    <x v="313"/>
    <x v="0"/>
    <s v="Vijayawada"/>
    <x v="1"/>
    <s v="Smartphone"/>
    <n v="3"/>
    <n v="42050"/>
    <x v="4"/>
    <s v="Delivered"/>
    <n v="126150"/>
  </r>
  <r>
    <s v="ORD10728"/>
    <s v="CUST0234"/>
    <x v="8"/>
    <x v="0"/>
    <s v="Chennai"/>
    <x v="1"/>
    <s v="Keyboard"/>
    <n v="2"/>
    <n v="5350"/>
    <x v="2"/>
    <s v="Cancelled"/>
    <n v="10700"/>
  </r>
  <r>
    <s v="ORD10729"/>
    <s v="CUST0309"/>
    <x v="0"/>
    <x v="0"/>
    <s v="Bengaluru"/>
    <x v="4"/>
    <s v="Shampoo"/>
    <n v="3"/>
    <n v="1700"/>
    <x v="1"/>
    <s v="Cancelled"/>
    <n v="5100"/>
  </r>
  <r>
    <s v="ORD10730"/>
    <s v="CUST0127"/>
    <x v="314"/>
    <x v="0"/>
    <s v="Vijayawada"/>
    <x v="4"/>
    <s v="Face Wash"/>
    <n v="1"/>
    <n v="1950"/>
    <x v="0"/>
    <s v="Shipped"/>
    <n v="1950"/>
  </r>
  <r>
    <s v="ORD10731"/>
    <s v="CUST0007"/>
    <x v="315"/>
    <x v="0"/>
    <s v="Hyderabad"/>
    <x v="4"/>
    <s v="Perfume"/>
    <n v="5"/>
    <n v="800"/>
    <x v="1"/>
    <s v="Delivered"/>
    <n v="4000"/>
  </r>
  <r>
    <s v="ORD10732"/>
    <s v="CUST0323"/>
    <x v="316"/>
    <x v="1"/>
    <s v="Lucknow"/>
    <x v="3"/>
    <s v="Football"/>
    <n v="3"/>
    <n v="4100"/>
    <x v="1"/>
    <s v="Delivered"/>
    <n v="12300"/>
  </r>
  <r>
    <s v="ORD10733"/>
    <s v="CUST0281"/>
    <x v="227"/>
    <x v="1"/>
    <s v="Jaipur"/>
    <x v="2"/>
    <s v="Jeans"/>
    <n v="1"/>
    <n v="4200"/>
    <x v="0"/>
    <s v="Delivered"/>
    <n v="4200"/>
  </r>
  <r>
    <s v="ORD10734"/>
    <s v="CUST0255"/>
    <x v="201"/>
    <x v="2"/>
    <s v="Patna"/>
    <x v="1"/>
    <s v="Monitor"/>
    <n v="1"/>
    <n v="22400"/>
    <x v="2"/>
    <s v="Delivered"/>
    <n v="22400"/>
  </r>
  <r>
    <s v="ORD10735"/>
    <s v="CUST0258"/>
    <x v="208"/>
    <x v="2"/>
    <s v="Patna"/>
    <x v="2"/>
    <s v="T-Shirt"/>
    <n v="1"/>
    <n v="6850"/>
    <x v="4"/>
    <s v="Shipped"/>
    <n v="6850"/>
  </r>
  <r>
    <s v="ORD10736"/>
    <s v="CUST0225"/>
    <x v="317"/>
    <x v="0"/>
    <s v="Vijayawada"/>
    <x v="3"/>
    <s v="Football"/>
    <n v="1"/>
    <n v="6550"/>
    <x v="4"/>
    <s v="Delivered"/>
    <n v="6550"/>
  </r>
  <r>
    <s v="ORD10737"/>
    <s v="CUST0155"/>
    <x v="10"/>
    <x v="3"/>
    <s v="Mumbai"/>
    <x v="2"/>
    <s v="Watch"/>
    <n v="1"/>
    <n v="6800"/>
    <x v="3"/>
    <s v="Delivered"/>
    <n v="6800"/>
  </r>
  <r>
    <s v="ORD10738"/>
    <s v="CUST0376"/>
    <x v="92"/>
    <x v="1"/>
    <s v="Chandigarh"/>
    <x v="4"/>
    <s v="Face Wash"/>
    <n v="1"/>
    <n v="4350"/>
    <x v="4"/>
    <s v="Delivered"/>
    <n v="4350"/>
  </r>
  <r>
    <s v="ORD10739"/>
    <s v="CUST0302"/>
    <x v="222"/>
    <x v="2"/>
    <s v="Bhubaneswar"/>
    <x v="0"/>
    <s v="Table Lamp"/>
    <n v="1"/>
    <n v="7950"/>
    <x v="0"/>
    <s v="Delivered"/>
    <n v="7950"/>
  </r>
  <r>
    <s v="ORD10740"/>
    <s v="CUST0352"/>
    <x v="123"/>
    <x v="3"/>
    <s v="Pune"/>
    <x v="4"/>
    <s v="Moisturizer"/>
    <n v="1"/>
    <n v="2050"/>
    <x v="2"/>
    <s v="Delivered"/>
    <n v="2050"/>
  </r>
  <r>
    <s v="ORD10741"/>
    <s v="CUST0205"/>
    <x v="309"/>
    <x v="2"/>
    <s v="Bhubaneswar"/>
    <x v="4"/>
    <s v="Face Wash"/>
    <n v="1"/>
    <n v="3400"/>
    <x v="0"/>
    <s v="Cancelled"/>
    <n v="3400"/>
  </r>
  <r>
    <s v="ORD10742"/>
    <s v="CUST0010"/>
    <x v="14"/>
    <x v="3"/>
    <s v="Ahmedabad"/>
    <x v="2"/>
    <s v="Jeans"/>
    <n v="2"/>
    <n v="4250"/>
    <x v="0"/>
    <s v="Delivered"/>
    <n v="8500"/>
  </r>
  <r>
    <s v="ORD10743"/>
    <s v="CUST0218"/>
    <x v="44"/>
    <x v="2"/>
    <s v="Kolkata"/>
    <x v="0"/>
    <s v="Cookware Set"/>
    <n v="2"/>
    <n v="600"/>
    <x v="2"/>
    <s v="Delivered"/>
    <n v="1200"/>
  </r>
  <r>
    <s v="ORD10744"/>
    <s v="CUST0358"/>
    <x v="200"/>
    <x v="0"/>
    <s v="Vijayawada"/>
    <x v="4"/>
    <s v="Face Wash"/>
    <n v="2"/>
    <n v="4500"/>
    <x v="0"/>
    <s v="Delivered"/>
    <n v="9000"/>
  </r>
  <r>
    <s v="ORD10745"/>
    <s v="CUST0103"/>
    <x v="120"/>
    <x v="0"/>
    <s v="Bengaluru"/>
    <x v="4"/>
    <s v="Perfume"/>
    <n v="2"/>
    <n v="2200"/>
    <x v="0"/>
    <s v="Returned"/>
    <n v="4400"/>
  </r>
  <r>
    <s v="ORD10746"/>
    <s v="CUST0292"/>
    <x v="133"/>
    <x v="1"/>
    <s v="Jaipur"/>
    <x v="1"/>
    <s v="Smartphone"/>
    <n v="1"/>
    <n v="35450"/>
    <x v="4"/>
    <s v="Delivered"/>
    <n v="35450"/>
  </r>
  <r>
    <s v="ORD10747"/>
    <s v="CUST0033"/>
    <x v="251"/>
    <x v="1"/>
    <s v="Lucknow"/>
    <x v="0"/>
    <s v="Mixer Grinder"/>
    <n v="2"/>
    <n v="4250"/>
    <x v="0"/>
    <s v="Delivered"/>
    <n v="8500"/>
  </r>
  <r>
    <s v="ORD10748"/>
    <s v="CUST0109"/>
    <x v="73"/>
    <x v="0"/>
    <s v="Vijayawada"/>
    <x v="3"/>
    <s v="Dumbbells"/>
    <n v="2"/>
    <n v="6250"/>
    <x v="2"/>
    <s v="Delivered"/>
    <n v="12500"/>
  </r>
  <r>
    <s v="ORD10749"/>
    <s v="CUST0327"/>
    <x v="70"/>
    <x v="2"/>
    <s v="Kolkata"/>
    <x v="3"/>
    <s v="Cricket Bat"/>
    <n v="2"/>
    <n v="2150"/>
    <x v="1"/>
    <s v="Cancelled"/>
    <n v="4300"/>
  </r>
  <r>
    <s v="ORD10750"/>
    <s v="CUST0298"/>
    <x v="208"/>
    <x v="2"/>
    <s v="Bhubaneswar"/>
    <x v="3"/>
    <s v="Dumbbells"/>
    <n v="1"/>
    <n v="1350"/>
    <x v="1"/>
    <s v="Delivered"/>
    <n v="1350"/>
  </r>
  <r>
    <s v="ORD10751"/>
    <s v="CUST0114"/>
    <x v="51"/>
    <x v="0"/>
    <s v="Chennai"/>
    <x v="1"/>
    <s v="Monitor"/>
    <n v="1"/>
    <n v="59800"/>
    <x v="2"/>
    <s v="Shipped"/>
    <n v="59800"/>
  </r>
  <r>
    <s v="ORD10752"/>
    <s v="CUST0300"/>
    <x v="129"/>
    <x v="1"/>
    <s v="Chandigarh"/>
    <x v="3"/>
    <s v="Football"/>
    <n v="2"/>
    <n v="3500"/>
    <x v="4"/>
    <s v="Delivered"/>
    <n v="7000"/>
  </r>
  <r>
    <s v="ORD10753"/>
    <s v="CUST0122"/>
    <x v="270"/>
    <x v="0"/>
    <s v="Vijayawada"/>
    <x v="1"/>
    <s v="Laptop"/>
    <n v="4"/>
    <n v="25500"/>
    <x v="1"/>
    <s v="Delivered"/>
    <n v="102000"/>
  </r>
  <r>
    <s v="ORD10754"/>
    <s v="CUST0096"/>
    <x v="66"/>
    <x v="0"/>
    <s v="Vijayawada"/>
    <x v="0"/>
    <s v="Water Bottle"/>
    <n v="1"/>
    <n v="4050"/>
    <x v="4"/>
    <s v="Delivered"/>
    <n v="4050"/>
  </r>
  <r>
    <s v="ORD10755"/>
    <s v="CUST0137"/>
    <x v="1"/>
    <x v="0"/>
    <s v="Hyderabad"/>
    <x v="1"/>
    <s v="Monitor"/>
    <n v="3"/>
    <n v="33850"/>
    <x v="2"/>
    <s v="Delivered"/>
    <n v="101550"/>
  </r>
  <r>
    <s v="ORD10756"/>
    <s v="CUST0287"/>
    <x v="224"/>
    <x v="3"/>
    <s v="Pune"/>
    <x v="1"/>
    <s v="Monitor"/>
    <n v="2"/>
    <n v="39000"/>
    <x v="4"/>
    <s v="Delivered"/>
    <n v="78000"/>
  </r>
  <r>
    <s v="ORD10757"/>
    <s v="CUST0189"/>
    <x v="103"/>
    <x v="0"/>
    <s v="Bengaluru"/>
    <x v="2"/>
    <s v="Jeans"/>
    <n v="1"/>
    <n v="3650"/>
    <x v="3"/>
    <s v="Delivered"/>
    <n v="3650"/>
  </r>
  <r>
    <s v="ORD10758"/>
    <s v="CUST0402"/>
    <x v="115"/>
    <x v="0"/>
    <s v="Mumbai"/>
    <x v="1"/>
    <s v="Keyboard"/>
    <n v="3"/>
    <n v="45150"/>
    <x v="4"/>
    <s v="Delivered"/>
    <n v="135450"/>
  </r>
  <r>
    <s v="ORD10759"/>
    <s v="CUST0379"/>
    <x v="150"/>
    <x v="0"/>
    <s v="Hyderabad"/>
    <x v="2"/>
    <s v="Sneakers"/>
    <n v="2"/>
    <n v="6200"/>
    <x v="3"/>
    <s v="Delivered"/>
    <n v="12400"/>
  </r>
  <r>
    <s v="ORD10760"/>
    <s v="CUST0181"/>
    <x v="145"/>
    <x v="1"/>
    <s v="Chandigarh"/>
    <x v="2"/>
    <s v="Backpack"/>
    <n v="2"/>
    <n v="4500"/>
    <x v="1"/>
    <s v="Delivered"/>
    <n v="9000"/>
  </r>
  <r>
    <s v="ORD10761"/>
    <s v="CUST0366"/>
    <x v="318"/>
    <x v="1"/>
    <s v="Lucknow"/>
    <x v="1"/>
    <s v="Smartphone"/>
    <n v="2"/>
    <n v="28000"/>
    <x v="1"/>
    <s v="Delivered"/>
    <n v="56000"/>
  </r>
  <r>
    <s v="ORD10762"/>
    <s v="CUST0094"/>
    <x v="319"/>
    <x v="1"/>
    <s v="Chandigarh"/>
    <x v="1"/>
    <s v="Keyboard"/>
    <n v="1"/>
    <n v="24600"/>
    <x v="0"/>
    <s v="Shipped"/>
    <n v="24600"/>
  </r>
  <r>
    <s v="ORD10763"/>
    <s v="CUST0023"/>
    <x v="257"/>
    <x v="2"/>
    <s v="Kolkata"/>
    <x v="1"/>
    <s v="Smartphone"/>
    <n v="3"/>
    <n v="6150"/>
    <x v="1"/>
    <s v="Cancelled"/>
    <n v="18450"/>
  </r>
  <r>
    <s v="ORD10764"/>
    <s v="CUST0359"/>
    <x v="7"/>
    <x v="2"/>
    <s v="Patna"/>
    <x v="2"/>
    <s v="T-Shirt"/>
    <n v="3"/>
    <n v="1100"/>
    <x v="1"/>
    <s v="Delivered"/>
    <n v="3300"/>
  </r>
  <r>
    <s v="ORD10765"/>
    <s v="CUST0405"/>
    <x v="32"/>
    <x v="0"/>
    <s v="Chennai"/>
    <x v="2"/>
    <s v="Jeans"/>
    <n v="4"/>
    <n v="4000"/>
    <x v="1"/>
    <s v="Cancelled"/>
    <n v="16000"/>
  </r>
  <r>
    <s v="ORD10766"/>
    <s v="CUST0103"/>
    <x v="320"/>
    <x v="2"/>
    <s v="Kolkata"/>
    <x v="3"/>
    <s v="Dumbbells"/>
    <n v="4"/>
    <n v="9050"/>
    <x v="0"/>
    <s v="Delivered"/>
    <n v="36200"/>
  </r>
  <r>
    <s v="ORD10767"/>
    <s v="CUST0286"/>
    <x v="198"/>
    <x v="1"/>
    <s v="Lucknow"/>
    <x v="0"/>
    <s v="Water Bottle"/>
    <n v="5"/>
    <n v="5700"/>
    <x v="2"/>
    <s v="Delivered"/>
    <n v="28500"/>
  </r>
  <r>
    <s v="ORD10768"/>
    <s v="CUST0449"/>
    <x v="11"/>
    <x v="1"/>
    <s v="Jaipur"/>
    <x v="2"/>
    <s v="T-Shirt"/>
    <n v="2"/>
    <n v="6050"/>
    <x v="0"/>
    <s v="Delivered"/>
    <n v="12100"/>
  </r>
  <r>
    <s v="ORD10769"/>
    <s v="CUST0145"/>
    <x v="35"/>
    <x v="3"/>
    <s v="Ahmedabad"/>
    <x v="1"/>
    <s v="Laptop"/>
    <n v="1"/>
    <n v="36300"/>
    <x v="0"/>
    <s v="Cancelled"/>
    <n v="36300"/>
  </r>
  <r>
    <s v="ORD10770"/>
    <s v="CUST0089"/>
    <x v="102"/>
    <x v="1"/>
    <s v="Delhi"/>
    <x v="2"/>
    <s v="Jeans"/>
    <n v="3"/>
    <n v="1850"/>
    <x v="0"/>
    <s v="Delivered"/>
    <n v="5550"/>
  </r>
  <r>
    <s v="ORD10771"/>
    <s v="CUST0340"/>
    <x v="275"/>
    <x v="1"/>
    <s v="Chandigarh"/>
    <x v="2"/>
    <s v="Backpack"/>
    <n v="1"/>
    <n v="7100"/>
    <x v="1"/>
    <s v="Cancelled"/>
    <n v="7100"/>
  </r>
  <r>
    <s v="ORD10772"/>
    <s v="CUST0113"/>
    <x v="206"/>
    <x v="2"/>
    <s v="Kolkata"/>
    <x v="3"/>
    <s v="Football"/>
    <n v="3"/>
    <n v="9150"/>
    <x v="2"/>
    <s v="Delivered"/>
    <n v="27450"/>
  </r>
  <r>
    <s v="ORD10773"/>
    <s v="CUST0369"/>
    <x v="74"/>
    <x v="0"/>
    <s v="Chennai"/>
    <x v="4"/>
    <s v="Hair Dryer"/>
    <n v="1"/>
    <n v="1900"/>
    <x v="1"/>
    <s v="Delivered"/>
    <n v="1900"/>
  </r>
  <r>
    <s v="ORD10774"/>
    <s v="CUST0448"/>
    <x v="285"/>
    <x v="0"/>
    <s v="Hyderabad"/>
    <x v="0"/>
    <s v="Cookware Set"/>
    <n v="1"/>
    <n v="8150"/>
    <x v="2"/>
    <s v="Cancelled"/>
    <n v="8150"/>
  </r>
  <r>
    <s v="ORD10775"/>
    <s v="CUST0155"/>
    <x v="309"/>
    <x v="0"/>
    <s v="Chennai"/>
    <x v="2"/>
    <s v="Jeans"/>
    <n v="3"/>
    <n v="6600"/>
    <x v="1"/>
    <s v="Delivered"/>
    <n v="19800"/>
  </r>
  <r>
    <s v="ORD10776"/>
    <s v="CUST0051"/>
    <x v="279"/>
    <x v="0"/>
    <s v="Bengaluru"/>
    <x v="2"/>
    <s v="Watch"/>
    <n v="2"/>
    <n v="4450"/>
    <x v="2"/>
    <s v="Delivered"/>
    <n v="8900"/>
  </r>
  <r>
    <s v="ORD10777"/>
    <s v="CUST0267"/>
    <x v="321"/>
    <x v="3"/>
    <s v="Ahmedabad"/>
    <x v="1"/>
    <s v="Headphones"/>
    <n v="3"/>
    <n v="35500"/>
    <x v="0"/>
    <s v="Shipped"/>
    <n v="106500"/>
  </r>
  <r>
    <s v="ORD10778"/>
    <s v="CUST0128"/>
    <x v="134"/>
    <x v="3"/>
    <s v="Ahmedabad"/>
    <x v="2"/>
    <s v="Sneakers"/>
    <n v="2"/>
    <n v="5450"/>
    <x v="1"/>
    <s v="Delivered"/>
    <n v="10900"/>
  </r>
  <r>
    <s v="ORD10779"/>
    <s v="CUST0319"/>
    <x v="285"/>
    <x v="1"/>
    <s v="Jaipur"/>
    <x v="2"/>
    <s v="T-Shirt"/>
    <n v="3"/>
    <n v="6150"/>
    <x v="2"/>
    <s v="Cancelled"/>
    <n v="18450"/>
  </r>
  <r>
    <s v="ORD10780"/>
    <s v="CUST0372"/>
    <x v="112"/>
    <x v="3"/>
    <s v="Pune"/>
    <x v="0"/>
    <s v="Cookware Set"/>
    <n v="3"/>
    <n v="6250"/>
    <x v="0"/>
    <s v="Shipped"/>
    <n v="18750"/>
  </r>
  <r>
    <s v="ORD10781"/>
    <s v="CUST0376"/>
    <x v="10"/>
    <x v="1"/>
    <s v="Jaipur"/>
    <x v="1"/>
    <s v="Keyboard"/>
    <n v="1"/>
    <n v="10350"/>
    <x v="1"/>
    <s v="Delivered"/>
    <n v="10350"/>
  </r>
  <r>
    <s v="ORD10782"/>
    <s v="CUST0129"/>
    <x v="13"/>
    <x v="3"/>
    <s v="Ahmedabad"/>
    <x v="4"/>
    <s v="Hair Dryer"/>
    <n v="1"/>
    <n v="1650"/>
    <x v="4"/>
    <s v="Delivered"/>
    <n v="1650"/>
  </r>
  <r>
    <s v="ORD10783"/>
    <s v="CUST0438"/>
    <x v="322"/>
    <x v="0"/>
    <s v="Vijayawada"/>
    <x v="1"/>
    <s v="Keyboard"/>
    <n v="2"/>
    <n v="54100"/>
    <x v="1"/>
    <s v="Delivered"/>
    <n v="108200"/>
  </r>
  <r>
    <s v="ORD10784"/>
    <s v="CUST0042"/>
    <x v="121"/>
    <x v="0"/>
    <s v="Chennai"/>
    <x v="1"/>
    <s v="Laptop"/>
    <n v="2"/>
    <n v="1850"/>
    <x v="2"/>
    <s v="Delivered"/>
    <n v="3700"/>
  </r>
  <r>
    <s v="ORD10785"/>
    <s v="CUST0416"/>
    <x v="322"/>
    <x v="3"/>
    <s v="Pune"/>
    <x v="2"/>
    <s v="Backpack"/>
    <n v="2"/>
    <n v="2050"/>
    <x v="3"/>
    <s v="Delivered"/>
    <n v="4100"/>
  </r>
  <r>
    <s v="ORD10786"/>
    <s v="CUST0022"/>
    <x v="211"/>
    <x v="3"/>
    <s v="Pune"/>
    <x v="2"/>
    <s v="Watch"/>
    <n v="1"/>
    <n v="2700"/>
    <x v="0"/>
    <s v="Delivered"/>
    <n v="2700"/>
  </r>
  <r>
    <s v="ORD10787"/>
    <s v="CUST0150"/>
    <x v="323"/>
    <x v="2"/>
    <s v="Kolkata"/>
    <x v="3"/>
    <s v="Yoga Mat"/>
    <n v="1"/>
    <n v="2800"/>
    <x v="0"/>
    <s v="Delivered"/>
    <n v="2800"/>
  </r>
  <r>
    <s v="ORD10788"/>
    <s v="CUST0385"/>
    <x v="255"/>
    <x v="0"/>
    <s v="Bengaluru"/>
    <x v="3"/>
    <s v="Football"/>
    <n v="1"/>
    <n v="1350"/>
    <x v="0"/>
    <s v="Delivered"/>
    <n v="1350"/>
  </r>
  <r>
    <s v="ORD10789"/>
    <s v="CUST0286"/>
    <x v="151"/>
    <x v="0"/>
    <s v="Vijayawada"/>
    <x v="3"/>
    <s v="Dumbbells"/>
    <n v="1"/>
    <n v="1350"/>
    <x v="0"/>
    <s v="Returned"/>
    <n v="1350"/>
  </r>
  <r>
    <s v="ORD10790"/>
    <s v="CUST0402"/>
    <x v="324"/>
    <x v="0"/>
    <s v="Bengaluru"/>
    <x v="0"/>
    <s v="Air Fryer"/>
    <n v="1"/>
    <n v="3250"/>
    <x v="2"/>
    <s v="Cancelled"/>
    <n v="3250"/>
  </r>
  <r>
    <s v="ORD10791"/>
    <s v="CUST0321"/>
    <x v="159"/>
    <x v="0"/>
    <s v="Bengaluru"/>
    <x v="1"/>
    <s v="Smartphone"/>
    <n v="2"/>
    <n v="8000"/>
    <x v="3"/>
    <s v="Delivered"/>
    <n v="16000"/>
  </r>
  <r>
    <s v="ORD10792"/>
    <s v="CUST0071"/>
    <x v="68"/>
    <x v="3"/>
    <s v="Ahmedabad"/>
    <x v="2"/>
    <s v="Backpack"/>
    <n v="1"/>
    <n v="3500"/>
    <x v="2"/>
    <s v="Delivered"/>
    <n v="3500"/>
  </r>
  <r>
    <s v="ORD10793"/>
    <s v="CUST0307"/>
    <x v="268"/>
    <x v="0"/>
    <s v="Bengaluru"/>
    <x v="1"/>
    <s v="Laptop"/>
    <n v="5"/>
    <n v="37500"/>
    <x v="0"/>
    <s v="Delivered"/>
    <n v="187500"/>
  </r>
  <r>
    <s v="ORD10794"/>
    <s v="CUST0036"/>
    <x v="9"/>
    <x v="3"/>
    <s v="Mumbai"/>
    <x v="1"/>
    <s v="Smartphone"/>
    <n v="2"/>
    <n v="36700"/>
    <x v="1"/>
    <s v="Delivered"/>
    <n v="73400"/>
  </r>
  <r>
    <s v="ORD10795"/>
    <s v="CUST0127"/>
    <x v="189"/>
    <x v="3"/>
    <s v="Pune"/>
    <x v="2"/>
    <s v="Backpack"/>
    <n v="3"/>
    <n v="5000"/>
    <x v="0"/>
    <s v="Delivered"/>
    <n v="15000"/>
  </r>
  <r>
    <s v="ORD10796"/>
    <s v="CUST0105"/>
    <x v="63"/>
    <x v="1"/>
    <s v="Delhi"/>
    <x v="2"/>
    <s v="Jeans"/>
    <n v="1"/>
    <n v="4200"/>
    <x v="1"/>
    <s v="Cancelled"/>
    <n v="4200"/>
  </r>
  <r>
    <s v="ORD10797"/>
    <s v="CUST0271"/>
    <x v="283"/>
    <x v="1"/>
    <s v="Delhi"/>
    <x v="4"/>
    <s v="Face Wash"/>
    <n v="1"/>
    <n v="1800"/>
    <x v="0"/>
    <s v="Delivered"/>
    <n v="1800"/>
  </r>
  <r>
    <s v="ORD10798"/>
    <s v="CUST0317"/>
    <x v="224"/>
    <x v="0"/>
    <s v="Hyderabad"/>
    <x v="1"/>
    <s v="Headphones"/>
    <n v="2"/>
    <n v="7050"/>
    <x v="1"/>
    <s v="Delivered"/>
    <n v="14100"/>
  </r>
  <r>
    <s v="ORD10799"/>
    <s v="CUST0401"/>
    <x v="51"/>
    <x v="3"/>
    <s v="Pune"/>
    <x v="4"/>
    <s v="Face Wash"/>
    <n v="2"/>
    <n v="4150"/>
    <x v="0"/>
    <s v="Delivered"/>
    <n v="8300"/>
  </r>
  <r>
    <s v="ORD10800"/>
    <s v="CUST0290"/>
    <x v="161"/>
    <x v="0"/>
    <s v="Vijayawada"/>
    <x v="4"/>
    <s v="Shampoo"/>
    <n v="4"/>
    <n v="2750"/>
    <x v="2"/>
    <s v="Shipped"/>
    <n v="11000"/>
  </r>
  <r>
    <s v="ORD10801"/>
    <s v="CUST0306"/>
    <x v="7"/>
    <x v="3"/>
    <s v="Pune"/>
    <x v="4"/>
    <s v="Shampoo"/>
    <n v="1"/>
    <n v="2700"/>
    <x v="4"/>
    <s v="Delivered"/>
    <n v="2700"/>
  </r>
  <r>
    <s v="ORD10802"/>
    <s v="CUST0404"/>
    <x v="72"/>
    <x v="2"/>
    <s v="Bhubaneswar"/>
    <x v="2"/>
    <s v="Jeans"/>
    <n v="1"/>
    <n v="3350"/>
    <x v="1"/>
    <s v="Delivered"/>
    <n v="3350"/>
  </r>
  <r>
    <s v="ORD10803"/>
    <s v="CUST0445"/>
    <x v="320"/>
    <x v="0"/>
    <s v="Bengaluru"/>
    <x v="2"/>
    <s v="Jeans"/>
    <n v="1"/>
    <n v="4300"/>
    <x v="3"/>
    <s v="Delivered"/>
    <n v="4300"/>
  </r>
  <r>
    <s v="ORD10804"/>
    <s v="CUST0331"/>
    <x v="198"/>
    <x v="1"/>
    <s v="Lucknow"/>
    <x v="1"/>
    <s v="Smartphone"/>
    <n v="3"/>
    <n v="59100"/>
    <x v="0"/>
    <s v="Delivered"/>
    <n v="177300"/>
  </r>
  <r>
    <s v="ORD10805"/>
    <s v="CUST0013"/>
    <x v="41"/>
    <x v="0"/>
    <s v="Hyderabad"/>
    <x v="3"/>
    <s v="Cricket Bat"/>
    <n v="1"/>
    <n v="9600"/>
    <x v="2"/>
    <s v="Delivered"/>
    <n v="9600"/>
  </r>
  <r>
    <s v="ORD10806"/>
    <s v="CUST0315"/>
    <x v="85"/>
    <x v="2"/>
    <s v="Patna"/>
    <x v="1"/>
    <s v="Laptop"/>
    <n v="2"/>
    <n v="28200"/>
    <x v="0"/>
    <s v="Delivered"/>
    <n v="56400"/>
  </r>
  <r>
    <s v="ORD10807"/>
    <s v="CUST0431"/>
    <x v="46"/>
    <x v="0"/>
    <s v="Hyderabad"/>
    <x v="0"/>
    <s v="Air Fryer"/>
    <n v="1"/>
    <n v="350"/>
    <x v="2"/>
    <s v="Shipped"/>
    <n v="350"/>
  </r>
  <r>
    <s v="ORD10808"/>
    <s v="CUST0020"/>
    <x v="151"/>
    <x v="0"/>
    <s v="Vijayawada"/>
    <x v="3"/>
    <s v="Running Shoes"/>
    <n v="2"/>
    <n v="5100"/>
    <x v="2"/>
    <s v="Delivered"/>
    <n v="10200"/>
  </r>
  <r>
    <s v="ORD10809"/>
    <s v="CUST0253"/>
    <x v="294"/>
    <x v="2"/>
    <s v="Bhubaneswar"/>
    <x v="4"/>
    <s v="Face Wash"/>
    <n v="3"/>
    <n v="750"/>
    <x v="2"/>
    <s v="Delivered"/>
    <n v="2250"/>
  </r>
  <r>
    <s v="ORD10810"/>
    <s v="CUST0350"/>
    <x v="259"/>
    <x v="0"/>
    <s v="Chennai"/>
    <x v="3"/>
    <s v="Football"/>
    <n v="1"/>
    <n v="3900"/>
    <x v="3"/>
    <s v="Delivered"/>
    <n v="3900"/>
  </r>
  <r>
    <s v="ORD10811"/>
    <s v="CUST0358"/>
    <x v="172"/>
    <x v="0"/>
    <s v="Chennai"/>
    <x v="1"/>
    <s v="Keyboard"/>
    <n v="2"/>
    <n v="25100"/>
    <x v="1"/>
    <s v="Delivered"/>
    <n v="50200"/>
  </r>
  <r>
    <s v="ORD10812"/>
    <s v="CUST0329"/>
    <x v="125"/>
    <x v="0"/>
    <s v="Vijayawada"/>
    <x v="4"/>
    <s v="Moisturizer"/>
    <n v="2"/>
    <n v="4400"/>
    <x v="1"/>
    <s v="Delivered"/>
    <n v="8800"/>
  </r>
  <r>
    <s v="ORD10813"/>
    <s v="CUST0077"/>
    <x v="53"/>
    <x v="0"/>
    <s v="Hyderabad"/>
    <x v="4"/>
    <s v="Shampoo"/>
    <n v="1"/>
    <n v="2650"/>
    <x v="0"/>
    <s v="Delivered"/>
    <n v="2650"/>
  </r>
  <r>
    <s v="ORD10814"/>
    <s v="CUST0352"/>
    <x v="325"/>
    <x v="3"/>
    <s v="Mumbai"/>
    <x v="4"/>
    <s v="Shampoo"/>
    <n v="3"/>
    <n v="4100"/>
    <x v="1"/>
    <s v="Delivered"/>
    <n v="12300"/>
  </r>
  <r>
    <s v="ORD10815"/>
    <s v="CUST0003"/>
    <x v="299"/>
    <x v="3"/>
    <s v="Ahmedabad"/>
    <x v="4"/>
    <s v="Hair Dryer"/>
    <n v="2"/>
    <n v="300"/>
    <x v="2"/>
    <s v="Delivered"/>
    <n v="600"/>
  </r>
  <r>
    <s v="ORD10816"/>
    <s v="CUST0332"/>
    <x v="7"/>
    <x v="3"/>
    <s v="Ahmedabad"/>
    <x v="4"/>
    <s v="Moisturizer"/>
    <n v="2"/>
    <n v="2000"/>
    <x v="0"/>
    <s v="Returned"/>
    <n v="4000"/>
  </r>
  <r>
    <s v="ORD10817"/>
    <s v="CUST0234"/>
    <x v="100"/>
    <x v="0"/>
    <s v="Bengaluru"/>
    <x v="3"/>
    <s v="Running Shoes"/>
    <n v="3"/>
    <n v="9100"/>
    <x v="2"/>
    <s v="Delivered"/>
    <n v="27300"/>
  </r>
  <r>
    <s v="ORD10818"/>
    <s v="CUST0339"/>
    <x v="183"/>
    <x v="1"/>
    <s v="Lucknow"/>
    <x v="2"/>
    <s v="T-Shirt"/>
    <n v="1"/>
    <n v="1650"/>
    <x v="0"/>
    <s v="Delivered"/>
    <n v="1650"/>
  </r>
  <r>
    <s v="ORD10819"/>
    <s v="CUST0008"/>
    <x v="288"/>
    <x v="2"/>
    <s v="Bhubaneswar"/>
    <x v="2"/>
    <s v="T-Shirt"/>
    <n v="1"/>
    <n v="2900"/>
    <x v="3"/>
    <s v="Delivered"/>
    <n v="2900"/>
  </r>
  <r>
    <s v="ORD10820"/>
    <s v="CUST0361"/>
    <x v="189"/>
    <x v="2"/>
    <s v="Patna"/>
    <x v="0"/>
    <s v="Table Lamp"/>
    <n v="2"/>
    <n v="3300"/>
    <x v="0"/>
    <s v="Cancelled"/>
    <n v="6600"/>
  </r>
  <r>
    <s v="ORD10821"/>
    <s v="CUST0057"/>
    <x v="173"/>
    <x v="2"/>
    <s v="Kolkata"/>
    <x v="3"/>
    <s v="Yoga Mat"/>
    <n v="1"/>
    <n v="850"/>
    <x v="3"/>
    <s v="Delivered"/>
    <n v="850"/>
  </r>
  <r>
    <s v="ORD10822"/>
    <s v="CUST0130"/>
    <x v="326"/>
    <x v="0"/>
    <s v="Bengaluru"/>
    <x v="0"/>
    <s v="Table Lamp"/>
    <n v="1"/>
    <n v="2050"/>
    <x v="3"/>
    <s v="Delivered"/>
    <n v="2050"/>
  </r>
  <r>
    <s v="ORD10823"/>
    <s v="CUST0193"/>
    <x v="280"/>
    <x v="0"/>
    <s v="Hyderabad"/>
    <x v="2"/>
    <s v="Watch"/>
    <n v="1"/>
    <n v="1000"/>
    <x v="1"/>
    <s v="Delivered"/>
    <n v="1000"/>
  </r>
  <r>
    <s v="ORD10824"/>
    <s v="CUST0243"/>
    <x v="20"/>
    <x v="3"/>
    <s v="Mumbai"/>
    <x v="3"/>
    <s v="Dumbbells"/>
    <n v="2"/>
    <n v="1200"/>
    <x v="1"/>
    <s v="Delivered"/>
    <n v="2400"/>
  </r>
  <r>
    <s v="ORD10825"/>
    <s v="CUST0229"/>
    <x v="56"/>
    <x v="3"/>
    <s v="Mumbai"/>
    <x v="4"/>
    <s v="Perfume"/>
    <n v="3"/>
    <n v="2400"/>
    <x v="3"/>
    <s v="Returned"/>
    <n v="7200"/>
  </r>
  <r>
    <s v="ORD10826"/>
    <s v="CUST0116"/>
    <x v="219"/>
    <x v="3"/>
    <s v="Ahmedabad"/>
    <x v="2"/>
    <s v="Backpack"/>
    <n v="1"/>
    <n v="5300"/>
    <x v="4"/>
    <s v="Delivered"/>
    <n v="5300"/>
  </r>
  <r>
    <s v="ORD10827"/>
    <s v="CUST0118"/>
    <x v="74"/>
    <x v="0"/>
    <s v="Chennai"/>
    <x v="1"/>
    <s v="Laptop"/>
    <n v="2"/>
    <n v="57150"/>
    <x v="4"/>
    <s v="Delivered"/>
    <n v="114300"/>
  </r>
  <r>
    <s v="ORD10828"/>
    <s v="CUST0172"/>
    <x v="327"/>
    <x v="1"/>
    <s v="Jaipur"/>
    <x v="1"/>
    <s v="Laptop"/>
    <n v="4"/>
    <n v="58550"/>
    <x v="4"/>
    <s v="Delivered"/>
    <n v="234200"/>
  </r>
  <r>
    <s v="ORD10829"/>
    <s v="CUST0068"/>
    <x v="168"/>
    <x v="1"/>
    <s v="Jaipur"/>
    <x v="2"/>
    <s v="Sneakers"/>
    <n v="1"/>
    <n v="1600"/>
    <x v="2"/>
    <s v="Delivered"/>
    <n v="1600"/>
  </r>
  <r>
    <s v="ORD10830"/>
    <s v="CUST0372"/>
    <x v="233"/>
    <x v="1"/>
    <s v="Chandigarh"/>
    <x v="4"/>
    <s v="Perfume"/>
    <n v="2"/>
    <n v="4400"/>
    <x v="0"/>
    <s v="Delivered"/>
    <n v="8800"/>
  </r>
  <r>
    <s v="ORD10831"/>
    <s v="CUST0411"/>
    <x v="146"/>
    <x v="3"/>
    <s v="Surat"/>
    <x v="0"/>
    <s v="Air Fryer"/>
    <n v="2"/>
    <n v="5400"/>
    <x v="0"/>
    <s v="Delivered"/>
    <n v="10800"/>
  </r>
  <r>
    <s v="ORD10832"/>
    <s v="CUST0294"/>
    <x v="244"/>
    <x v="1"/>
    <s v="Lucknow"/>
    <x v="3"/>
    <s v="Running Shoes"/>
    <n v="2"/>
    <n v="3900"/>
    <x v="3"/>
    <s v="Delivered"/>
    <n v="7800"/>
  </r>
  <r>
    <s v="ORD10833"/>
    <s v="CUST0105"/>
    <x v="258"/>
    <x v="0"/>
    <s v="Vijayawada"/>
    <x v="3"/>
    <s v="Running Shoes"/>
    <n v="1"/>
    <n v="9950"/>
    <x v="0"/>
    <s v="Delivered"/>
    <n v="9950"/>
  </r>
  <r>
    <s v="ORD10834"/>
    <s v="CUST0101"/>
    <x v="68"/>
    <x v="1"/>
    <s v="Jaipur"/>
    <x v="2"/>
    <s v="Watch"/>
    <n v="1"/>
    <n v="2000"/>
    <x v="1"/>
    <s v="Delivered"/>
    <n v="2000"/>
  </r>
  <r>
    <s v="ORD10835"/>
    <s v="CUST0408"/>
    <x v="5"/>
    <x v="0"/>
    <s v="Hyderabad"/>
    <x v="0"/>
    <s v="Mixer Grinder"/>
    <n v="4"/>
    <n v="5250"/>
    <x v="0"/>
    <s v="Delivered"/>
    <n v="21000"/>
  </r>
  <r>
    <s v="ORD10836"/>
    <s v="CUST0359"/>
    <x v="79"/>
    <x v="1"/>
    <s v="Jaipur"/>
    <x v="0"/>
    <s v="Mixer Grinder"/>
    <n v="1"/>
    <n v="8500"/>
    <x v="2"/>
    <s v="Delivered"/>
    <n v="8500"/>
  </r>
  <r>
    <s v="ORD10837"/>
    <s v="CUST0277"/>
    <x v="145"/>
    <x v="2"/>
    <s v="Kolkata"/>
    <x v="1"/>
    <s v="Monitor"/>
    <n v="2"/>
    <n v="64000"/>
    <x v="1"/>
    <s v="Delivered"/>
    <n v="128000"/>
  </r>
  <r>
    <s v="ORD10838"/>
    <s v="CUST0288"/>
    <x v="257"/>
    <x v="2"/>
    <s v="Patna"/>
    <x v="2"/>
    <s v="Jeans"/>
    <n v="3"/>
    <n v="5150"/>
    <x v="2"/>
    <s v="Delivered"/>
    <n v="15450"/>
  </r>
  <r>
    <s v="ORD10839"/>
    <s v="CUST0073"/>
    <x v="223"/>
    <x v="2"/>
    <s v="Guwahati"/>
    <x v="1"/>
    <s v="Headphones"/>
    <n v="2"/>
    <n v="38250"/>
    <x v="0"/>
    <s v="Delivered"/>
    <n v="76500"/>
  </r>
  <r>
    <s v="ORD10840"/>
    <s v="CUST0198"/>
    <x v="227"/>
    <x v="2"/>
    <s v="Kolkata"/>
    <x v="4"/>
    <s v="Shampoo"/>
    <n v="2"/>
    <n v="3550"/>
    <x v="0"/>
    <s v="Shipped"/>
    <n v="7100"/>
  </r>
  <r>
    <s v="ORD10841"/>
    <s v="CUST0173"/>
    <x v="89"/>
    <x v="1"/>
    <s v="Chandigarh"/>
    <x v="1"/>
    <s v="Headphones"/>
    <n v="3"/>
    <n v="22950"/>
    <x v="0"/>
    <s v="Delivered"/>
    <n v="68850"/>
  </r>
  <r>
    <s v="ORD10842"/>
    <s v="CUST0196"/>
    <x v="310"/>
    <x v="0"/>
    <s v="Bengaluru"/>
    <x v="2"/>
    <s v="Jeans"/>
    <n v="5"/>
    <n v="2850"/>
    <x v="0"/>
    <s v="Delivered"/>
    <n v="14250"/>
  </r>
  <r>
    <s v="ORD10843"/>
    <s v="CUST0146"/>
    <x v="176"/>
    <x v="3"/>
    <s v="Mumbai"/>
    <x v="0"/>
    <s v="Water Bottle"/>
    <n v="1"/>
    <n v="1500"/>
    <x v="3"/>
    <s v="Delivered"/>
    <n v="1500"/>
  </r>
  <r>
    <s v="ORD10844"/>
    <s v="CUST0431"/>
    <x v="308"/>
    <x v="1"/>
    <s v="Delhi"/>
    <x v="4"/>
    <s v="Moisturizer"/>
    <n v="1"/>
    <n v="1300"/>
    <x v="0"/>
    <s v="Delivered"/>
    <n v="1300"/>
  </r>
  <r>
    <s v="ORD10845"/>
    <s v="CUST0231"/>
    <x v="326"/>
    <x v="2"/>
    <s v="Bhubaneswar"/>
    <x v="2"/>
    <s v="T-Shirt"/>
    <n v="1"/>
    <n v="4150"/>
    <x v="1"/>
    <s v="Delivered"/>
    <n v="4150"/>
  </r>
  <r>
    <s v="ORD10846"/>
    <s v="CUST0079"/>
    <x v="190"/>
    <x v="3"/>
    <s v="Ahmedabad"/>
    <x v="1"/>
    <s v="Laptop"/>
    <n v="1"/>
    <n v="7600"/>
    <x v="0"/>
    <s v="Delivered"/>
    <n v="7600"/>
  </r>
  <r>
    <s v="ORD10847"/>
    <s v="CUST0274"/>
    <x v="161"/>
    <x v="0"/>
    <s v="Bengaluru"/>
    <x v="0"/>
    <s v="Cookware Set"/>
    <n v="3"/>
    <n v="2500"/>
    <x v="2"/>
    <s v="Delivered"/>
    <n v="7500"/>
  </r>
  <r>
    <s v="ORD10848"/>
    <s v="CUST0439"/>
    <x v="327"/>
    <x v="3"/>
    <s v="Pune"/>
    <x v="1"/>
    <s v="Headphones"/>
    <n v="1"/>
    <n v="35650"/>
    <x v="2"/>
    <s v="Delivered"/>
    <n v="35650"/>
  </r>
  <r>
    <s v="ORD10849"/>
    <s v="CUST0222"/>
    <x v="206"/>
    <x v="3"/>
    <s v="Surat"/>
    <x v="2"/>
    <s v="Jeans"/>
    <n v="2"/>
    <n v="550"/>
    <x v="1"/>
    <s v="Shipped"/>
    <n v="1100"/>
  </r>
  <r>
    <s v="ORD10850"/>
    <s v="CUST0074"/>
    <x v="12"/>
    <x v="0"/>
    <s v="Vijayawada"/>
    <x v="0"/>
    <s v="Air Fryer"/>
    <n v="4"/>
    <n v="7700"/>
    <x v="0"/>
    <s v="Cancelled"/>
    <n v="30800"/>
  </r>
  <r>
    <s v="ORD10851"/>
    <m/>
    <x v="105"/>
    <x v="2"/>
    <s v="Bhubaneswar"/>
    <x v="2"/>
    <s v="Backpack"/>
    <n v="1"/>
    <n v="5850"/>
    <x v="0"/>
    <s v="Delivered"/>
    <n v="5850"/>
  </r>
  <r>
    <s v="ORD10852"/>
    <s v="CUST0288"/>
    <x v="217"/>
    <x v="0"/>
    <s v="Bengaluru"/>
    <x v="1"/>
    <s v="Headphones"/>
    <n v="1"/>
    <n v="29500"/>
    <x v="3"/>
    <s v="Delivered"/>
    <n v="29500"/>
  </r>
  <r>
    <s v="ORD10853"/>
    <s v="CUST0289"/>
    <x v="298"/>
    <x v="1"/>
    <s v="Jaipur"/>
    <x v="1"/>
    <s v="Smartphone"/>
    <n v="1"/>
    <n v="43150"/>
    <x v="1"/>
    <s v="Returned"/>
    <n v="43150"/>
  </r>
  <r>
    <s v="ORD10854"/>
    <s v="CUST0433"/>
    <x v="68"/>
    <x v="0"/>
    <s v="Hyderabad"/>
    <x v="1"/>
    <s v="Headphones"/>
    <n v="3"/>
    <n v="34600"/>
    <x v="3"/>
    <s v="Cancelled"/>
    <n v="103800"/>
  </r>
  <r>
    <s v="ORD10855"/>
    <s v="CUST0049"/>
    <x v="236"/>
    <x v="2"/>
    <s v="Bhubaneswar"/>
    <x v="3"/>
    <s v="Dumbbells"/>
    <n v="2"/>
    <n v="1500"/>
    <x v="0"/>
    <s v="Returned"/>
    <n v="3000"/>
  </r>
  <r>
    <s v="ORD10856"/>
    <s v="CUST0332"/>
    <x v="103"/>
    <x v="2"/>
    <s v="Kolkata"/>
    <x v="0"/>
    <s v="Table Lamp"/>
    <n v="1"/>
    <n v="1400"/>
    <x v="0"/>
    <s v="Cancelled"/>
    <n v="1400"/>
  </r>
  <r>
    <s v="ORD10857"/>
    <s v="CUST0148"/>
    <x v="315"/>
    <x v="3"/>
    <s v="Pune"/>
    <x v="4"/>
    <s v="Shampoo"/>
    <n v="1"/>
    <n v="950"/>
    <x v="1"/>
    <s v="Delivered"/>
    <n v="950"/>
  </r>
  <r>
    <s v="ORD10858"/>
    <s v="CUST0271"/>
    <x v="74"/>
    <x v="1"/>
    <s v="Chandigarh"/>
    <x v="2"/>
    <s v="Jeans"/>
    <n v="1"/>
    <n v="7000"/>
    <x v="1"/>
    <s v="Delivered"/>
    <n v="7000"/>
  </r>
  <r>
    <s v="ORD10859"/>
    <s v="CUST0237"/>
    <x v="282"/>
    <x v="3"/>
    <s v="Ahmedabad"/>
    <x v="4"/>
    <s v="Shampoo"/>
    <n v="2"/>
    <n v="1100"/>
    <x v="0"/>
    <s v="Shipped"/>
    <n v="2200"/>
  </r>
  <r>
    <s v="ORD10860"/>
    <s v="CUST0292"/>
    <x v="197"/>
    <x v="0"/>
    <s v="Chennai"/>
    <x v="2"/>
    <s v="Watch"/>
    <n v="1"/>
    <n v="7400"/>
    <x v="4"/>
    <s v="Delivered"/>
    <n v="7400"/>
  </r>
  <r>
    <s v="ORD10861"/>
    <s v="CUST0283"/>
    <x v="255"/>
    <x v="1"/>
    <s v="Jaipur"/>
    <x v="0"/>
    <s v="Mixer Grinder"/>
    <n v="2"/>
    <n v="1350"/>
    <x v="1"/>
    <s v="Delivered"/>
    <n v="2700"/>
  </r>
  <r>
    <s v="ORD10862"/>
    <s v="CUST0154"/>
    <x v="30"/>
    <x v="1"/>
    <s v="Chandigarh"/>
    <x v="2"/>
    <s v="Sneakers"/>
    <n v="1"/>
    <n v="7900"/>
    <x v="1"/>
    <s v="Delivered"/>
    <n v="7900"/>
  </r>
  <r>
    <s v="ORD10863"/>
    <s v="CUST0137"/>
    <x v="166"/>
    <x v="1"/>
    <s v="Chandigarh"/>
    <x v="4"/>
    <s v="Perfume"/>
    <n v="1"/>
    <n v="2050"/>
    <x v="1"/>
    <s v="Delivered"/>
    <n v="2050"/>
  </r>
  <r>
    <s v="ORD10864"/>
    <s v="CUST0195"/>
    <x v="328"/>
    <x v="3"/>
    <s v="Surat"/>
    <x v="1"/>
    <s v="Monitor"/>
    <n v="1"/>
    <n v="19850"/>
    <x v="0"/>
    <s v="Delivered"/>
    <n v="19850"/>
  </r>
  <r>
    <s v="ORD10865"/>
    <s v="CUST0178"/>
    <x v="55"/>
    <x v="3"/>
    <s v="Ahmedabad"/>
    <x v="0"/>
    <s v="Water Bottle"/>
    <n v="1"/>
    <n v="4000"/>
    <x v="4"/>
    <s v="Delivered"/>
    <n v="4000"/>
  </r>
  <r>
    <s v="ORD10866"/>
    <s v="CUST0126"/>
    <x v="172"/>
    <x v="2"/>
    <s v="Patna"/>
    <x v="0"/>
    <s v="Mixer Grinder"/>
    <n v="1"/>
    <n v="2750"/>
    <x v="1"/>
    <s v="Delivered"/>
    <n v="2750"/>
  </r>
  <r>
    <s v="ORD10867"/>
    <s v="CUST0337"/>
    <x v="64"/>
    <x v="0"/>
    <m/>
    <x v="2"/>
    <s v="Watch"/>
    <n v="1"/>
    <n v="1400"/>
    <x v="1"/>
    <s v="Delivered"/>
    <n v="1400"/>
  </r>
  <r>
    <s v="ORD10868"/>
    <s v="CUST0090"/>
    <x v="318"/>
    <x v="3"/>
    <s v="Ahmedabad"/>
    <x v="1"/>
    <s v="Headphones"/>
    <n v="5"/>
    <n v="43750"/>
    <x v="0"/>
    <s v="Delivered"/>
    <n v="218750"/>
  </r>
  <r>
    <s v="ORD10869"/>
    <s v="CUST0160"/>
    <x v="258"/>
    <x v="2"/>
    <s v="Kolkata"/>
    <x v="0"/>
    <s v="Mixer Grinder"/>
    <n v="3"/>
    <n v="6250"/>
    <x v="0"/>
    <s v="Delivered"/>
    <n v="18750"/>
  </r>
  <r>
    <s v="ORD10870"/>
    <s v="CUST0074"/>
    <x v="2"/>
    <x v="0"/>
    <s v="Vijayawada"/>
    <x v="2"/>
    <s v="Watch"/>
    <n v="1"/>
    <n v="3550"/>
    <x v="2"/>
    <s v="Delivered"/>
    <n v="3550"/>
  </r>
  <r>
    <s v="ORD10871"/>
    <s v="CUST0293"/>
    <x v="121"/>
    <x v="0"/>
    <s v="Vijayawada"/>
    <x v="3"/>
    <s v="Cricket Bat"/>
    <n v="1"/>
    <n v="2350"/>
    <x v="0"/>
    <s v="Cancelled"/>
    <n v="2350"/>
  </r>
  <r>
    <s v="ORD10872"/>
    <s v="CUST0176"/>
    <x v="36"/>
    <x v="0"/>
    <s v="Bengaluru"/>
    <x v="1"/>
    <s v="Keyboard"/>
    <n v="1"/>
    <n v="50550"/>
    <x v="1"/>
    <s v="Returned"/>
    <n v="50550"/>
  </r>
  <r>
    <s v="ORD10873"/>
    <s v="CUST0267"/>
    <x v="165"/>
    <x v="3"/>
    <s v="Ahmedabad"/>
    <x v="4"/>
    <s v="Perfume"/>
    <n v="3"/>
    <n v="1150"/>
    <x v="2"/>
    <s v="Delivered"/>
    <n v="3450"/>
  </r>
  <r>
    <s v="ORD10874"/>
    <s v="CUST0441"/>
    <x v="29"/>
    <x v="2"/>
    <s v="Guwahati"/>
    <x v="3"/>
    <s v="Running Shoes"/>
    <n v="1"/>
    <n v="2650"/>
    <x v="2"/>
    <s v="Delivered"/>
    <n v="2650"/>
  </r>
  <r>
    <s v="ORD10875"/>
    <s v="CUST0325"/>
    <x v="105"/>
    <x v="1"/>
    <s v="Delhi"/>
    <x v="3"/>
    <s v="Yoga Mat"/>
    <n v="3"/>
    <n v="8450"/>
    <x v="1"/>
    <s v="Delivered"/>
    <n v="25350"/>
  </r>
  <r>
    <s v="ORD10876"/>
    <s v="CUST0387"/>
    <x v="12"/>
    <x v="3"/>
    <s v="Mumbai"/>
    <x v="0"/>
    <s v="Mixer Grinder"/>
    <n v="2"/>
    <n v="4600"/>
    <x v="0"/>
    <s v="Cancelled"/>
    <n v="9200"/>
  </r>
  <r>
    <s v="ORD10877"/>
    <s v="CUST0069"/>
    <x v="94"/>
    <x v="3"/>
    <s v="Ahmedabad"/>
    <x v="0"/>
    <s v="Air Fryer"/>
    <n v="1"/>
    <n v="4600"/>
    <x v="1"/>
    <s v="Delivered"/>
    <n v="4600"/>
  </r>
  <r>
    <s v="ORD10878"/>
    <s v="CUST0312"/>
    <x v="329"/>
    <x v="2"/>
    <s v="Patna"/>
    <x v="2"/>
    <s v="Backpack"/>
    <n v="1"/>
    <n v="3400"/>
    <x v="2"/>
    <s v="Shipped"/>
    <n v="3400"/>
  </r>
  <r>
    <s v="ORD10879"/>
    <s v="CUST0197"/>
    <x v="202"/>
    <x v="2"/>
    <s v="Kolkata"/>
    <x v="1"/>
    <s v="Headphones"/>
    <n v="2"/>
    <n v="43700"/>
    <x v="3"/>
    <s v="Delivered"/>
    <n v="87400"/>
  </r>
  <r>
    <s v="ORD10880"/>
    <s v="CUST0405"/>
    <x v="330"/>
    <x v="3"/>
    <s v="Ahmedabad"/>
    <x v="2"/>
    <s v="Jeans"/>
    <n v="2"/>
    <n v="2900"/>
    <x v="4"/>
    <s v="Shipped"/>
    <n v="5800"/>
  </r>
  <r>
    <s v="ORD10881"/>
    <s v="CUST0115"/>
    <x v="5"/>
    <x v="3"/>
    <s v="Pune"/>
    <x v="1"/>
    <s v="Smartphone"/>
    <n v="2"/>
    <n v="22400"/>
    <x v="1"/>
    <s v="Shipped"/>
    <n v="44800"/>
  </r>
  <r>
    <s v="ORD10882"/>
    <s v="CUST0141"/>
    <x v="106"/>
    <x v="2"/>
    <s v="Bhubaneswar"/>
    <x v="2"/>
    <s v="Sneakers"/>
    <n v="2"/>
    <n v="3100"/>
    <x v="2"/>
    <s v="Delivered"/>
    <n v="6200"/>
  </r>
  <r>
    <s v="ORD10883"/>
    <s v="CUST0384"/>
    <x v="185"/>
    <x v="0"/>
    <s v="Chennai"/>
    <x v="1"/>
    <s v="Headphones"/>
    <n v="1"/>
    <n v="10250"/>
    <x v="2"/>
    <s v="Delivered"/>
    <n v="10250"/>
  </r>
  <r>
    <s v="ORD10884"/>
    <s v="CUST0326"/>
    <x v="104"/>
    <x v="0"/>
    <s v="Hyderabad"/>
    <x v="0"/>
    <s v="Mixer Grinder"/>
    <n v="2"/>
    <n v="800"/>
    <x v="4"/>
    <s v="Delivered"/>
    <n v="1600"/>
  </r>
  <r>
    <s v="ORD10885"/>
    <s v="CUST0223"/>
    <x v="191"/>
    <x v="2"/>
    <s v="Patna"/>
    <x v="4"/>
    <s v="Perfume"/>
    <n v="2"/>
    <n v="700"/>
    <x v="2"/>
    <s v="Shipped"/>
    <n v="1400"/>
  </r>
  <r>
    <s v="ORD10886"/>
    <s v="CUST0289"/>
    <x v="73"/>
    <x v="0"/>
    <s v="Vijayawada"/>
    <x v="1"/>
    <s v="Headphones"/>
    <n v="2"/>
    <n v="52800"/>
    <x v="1"/>
    <s v="Delivered"/>
    <n v="105600"/>
  </r>
  <r>
    <s v="ORD10887"/>
    <s v="CUST0184"/>
    <x v="327"/>
    <x v="0"/>
    <s v="Vijayawada"/>
    <x v="2"/>
    <s v="Backpack"/>
    <n v="3"/>
    <n v="800"/>
    <x v="0"/>
    <s v="Delivered"/>
    <n v="2400"/>
  </r>
  <r>
    <s v="ORD10888"/>
    <s v="CUST0278"/>
    <x v="300"/>
    <x v="3"/>
    <s v="Mumbai"/>
    <x v="4"/>
    <s v="Perfume"/>
    <n v="2"/>
    <n v="2550"/>
    <x v="1"/>
    <s v="Delivered"/>
    <n v="5100"/>
  </r>
  <r>
    <s v="ORD10889"/>
    <s v="CUST0204"/>
    <x v="57"/>
    <x v="1"/>
    <s v="Delhi"/>
    <x v="2"/>
    <s v="Sneakers"/>
    <n v="1"/>
    <n v="3300"/>
    <x v="3"/>
    <s v="Delivered"/>
    <n v="3300"/>
  </r>
  <r>
    <s v="ORD10890"/>
    <s v="CUST0025"/>
    <x v="213"/>
    <x v="3"/>
    <s v="Pune"/>
    <x v="3"/>
    <s v="Dumbbells"/>
    <n v="3"/>
    <n v="10000"/>
    <x v="3"/>
    <s v="Delivered"/>
    <n v="30000"/>
  </r>
  <r>
    <s v="ORD10891"/>
    <s v="CUST0336"/>
    <x v="298"/>
    <x v="0"/>
    <s v="Hyderabad"/>
    <x v="0"/>
    <s v="Water Bottle"/>
    <n v="4"/>
    <n v="3000"/>
    <x v="3"/>
    <s v="Shipped"/>
    <n v="12000"/>
  </r>
  <r>
    <s v="ORD10892"/>
    <s v="CUST0144"/>
    <x v="253"/>
    <x v="0"/>
    <s v="Vijayawada"/>
    <x v="4"/>
    <s v="Moisturizer"/>
    <n v="1"/>
    <n v="4550"/>
    <x v="0"/>
    <s v="Delivered"/>
    <n v="4550"/>
  </r>
  <r>
    <s v="ORD10893"/>
    <s v="CUST0214"/>
    <x v="312"/>
    <x v="1"/>
    <s v="Chandigarh"/>
    <x v="4"/>
    <s v="Moisturizer"/>
    <n v="1"/>
    <n v="3450"/>
    <x v="1"/>
    <s v="Delivered"/>
    <n v="3450"/>
  </r>
  <r>
    <s v="ORD10894"/>
    <s v="CUST0046"/>
    <x v="70"/>
    <x v="1"/>
    <s v="Jaipur"/>
    <x v="0"/>
    <s v="Mixer Grinder"/>
    <n v="2"/>
    <n v="1250"/>
    <x v="0"/>
    <s v="Delivered"/>
    <n v="2500"/>
  </r>
  <r>
    <s v="ORD10895"/>
    <s v="CUST0333"/>
    <x v="288"/>
    <x v="0"/>
    <s v="Bengaluru"/>
    <x v="3"/>
    <s v="Football"/>
    <n v="1"/>
    <n v="1500"/>
    <x v="2"/>
    <s v="Cancelled"/>
    <n v="1500"/>
  </r>
  <r>
    <s v="ORD10896"/>
    <s v="CUST0376"/>
    <x v="184"/>
    <x v="0"/>
    <s v="Vijayawada"/>
    <x v="1"/>
    <s v="Headphones"/>
    <n v="1"/>
    <n v="41850"/>
    <x v="2"/>
    <s v="Delivered"/>
    <n v="41850"/>
  </r>
  <r>
    <s v="ORD10897"/>
    <s v="CUST0041"/>
    <x v="287"/>
    <x v="3"/>
    <s v="Ahmedabad"/>
    <x v="1"/>
    <s v="Monitor"/>
    <n v="1"/>
    <n v="52650"/>
    <x v="0"/>
    <s v="Delivered"/>
    <n v="52650"/>
  </r>
  <r>
    <s v="ORD10898"/>
    <s v="CUST0400"/>
    <x v="136"/>
    <x v="0"/>
    <s v="Bengaluru"/>
    <x v="1"/>
    <s v="Headphones"/>
    <n v="1"/>
    <n v="23700"/>
    <x v="1"/>
    <s v="Delivered"/>
    <n v="23700"/>
  </r>
  <r>
    <s v="ORD10899"/>
    <s v="CUST0415"/>
    <x v="306"/>
    <x v="0"/>
    <s v="Chennai"/>
    <x v="0"/>
    <s v="Table Lamp"/>
    <n v="2"/>
    <n v="7950"/>
    <x v="2"/>
    <s v="Delivered"/>
    <n v="15900"/>
  </r>
  <r>
    <s v="ORD10900"/>
    <s v="CUST0349"/>
    <x v="62"/>
    <x v="0"/>
    <s v="Vijayawada"/>
    <x v="3"/>
    <s v="Dumbbells"/>
    <n v="2"/>
    <n v="9400"/>
    <x v="1"/>
    <s v="Delivered"/>
    <n v="18800"/>
  </r>
  <r>
    <s v="ORD10901"/>
    <s v="CUST0147"/>
    <x v="19"/>
    <x v="0"/>
    <s v="Vijayawada"/>
    <x v="4"/>
    <s v="Moisturizer"/>
    <n v="3"/>
    <n v="1650"/>
    <x v="0"/>
    <s v="Cancelled"/>
    <n v="4950"/>
  </r>
  <r>
    <s v="ORD10902"/>
    <s v="CUST0005"/>
    <x v="227"/>
    <x v="3"/>
    <s v="Ahmedabad"/>
    <x v="2"/>
    <s v="T-Shirt"/>
    <n v="3"/>
    <n v="6800"/>
    <x v="0"/>
    <s v="Delivered"/>
    <n v="20400"/>
  </r>
  <r>
    <s v="ORD10903"/>
    <s v="CUST0053"/>
    <x v="125"/>
    <x v="3"/>
    <s v="Ahmedabad"/>
    <x v="2"/>
    <s v="Backpack"/>
    <n v="3"/>
    <n v="4600"/>
    <x v="2"/>
    <s v="Shipped"/>
    <n v="13800"/>
  </r>
  <r>
    <s v="ORD10904"/>
    <s v="CUST0365"/>
    <x v="166"/>
    <x v="0"/>
    <s v="Bengaluru"/>
    <x v="0"/>
    <s v="Cookware Set"/>
    <n v="4"/>
    <n v="900"/>
    <x v="0"/>
    <s v="Cancelled"/>
    <n v="3600"/>
  </r>
  <r>
    <s v="ORD10905"/>
    <s v="CUST0048"/>
    <x v="162"/>
    <x v="1"/>
    <s v="Delhi"/>
    <x v="3"/>
    <s v="Cricket Bat"/>
    <n v="2"/>
    <n v="550"/>
    <x v="3"/>
    <s v="Delivered"/>
    <n v="1100"/>
  </r>
  <r>
    <s v="ORD10906"/>
    <s v="CUST0095"/>
    <x v="320"/>
    <x v="1"/>
    <s v="Chandigarh"/>
    <x v="0"/>
    <s v="Water Bottle"/>
    <n v="4"/>
    <n v="1800"/>
    <x v="2"/>
    <s v="Delivered"/>
    <n v="7200"/>
  </r>
  <r>
    <s v="ORD10907"/>
    <s v="CUST0223"/>
    <x v="94"/>
    <x v="0"/>
    <s v="Vijayawada"/>
    <x v="2"/>
    <s v="Jeans"/>
    <n v="1"/>
    <n v="4800"/>
    <x v="1"/>
    <s v="Delivered"/>
    <n v="4800"/>
  </r>
  <r>
    <s v="ORD10908"/>
    <s v="CUST0076"/>
    <x v="305"/>
    <x v="3"/>
    <s v="Mumbai"/>
    <x v="3"/>
    <s v="Cricket Bat"/>
    <n v="1"/>
    <n v="950"/>
    <x v="4"/>
    <s v="Delivered"/>
    <n v="950"/>
  </r>
  <r>
    <s v="ORD10909"/>
    <s v="CUST0116"/>
    <x v="331"/>
    <x v="1"/>
    <s v="Jaipur"/>
    <x v="4"/>
    <s v="Perfume"/>
    <n v="1"/>
    <n v="3800"/>
    <x v="3"/>
    <s v="Cancelled"/>
    <n v="3800"/>
  </r>
  <r>
    <s v="ORD10910"/>
    <s v="CUST0441"/>
    <x v="188"/>
    <x v="1"/>
    <s v="Chandigarh"/>
    <x v="2"/>
    <s v="Watch"/>
    <n v="5"/>
    <n v="7000"/>
    <x v="2"/>
    <s v="Shipped"/>
    <n v="35000"/>
  </r>
  <r>
    <s v="ORD10911"/>
    <s v="CUST0071"/>
    <x v="8"/>
    <x v="2"/>
    <s v="Kolkata"/>
    <x v="4"/>
    <s v="Hair Dryer"/>
    <n v="1"/>
    <n v="1750"/>
    <x v="0"/>
    <s v="Delivered"/>
    <n v="1750"/>
  </r>
  <r>
    <s v="ORD10912"/>
    <s v="CUST0151"/>
    <x v="128"/>
    <x v="1"/>
    <s v="Chandigarh"/>
    <x v="0"/>
    <s v="Air Fryer"/>
    <n v="2"/>
    <n v="2750"/>
    <x v="0"/>
    <s v="Delivered"/>
    <n v="5500"/>
  </r>
  <r>
    <s v="ORD10913"/>
    <s v="CUST0347"/>
    <x v="192"/>
    <x v="0"/>
    <s v="Hyderabad"/>
    <x v="3"/>
    <s v="Dumbbells"/>
    <n v="1"/>
    <n v="4200"/>
    <x v="4"/>
    <s v="Delivered"/>
    <n v="4200"/>
  </r>
  <r>
    <s v="ORD10914"/>
    <s v="CUST0425"/>
    <x v="292"/>
    <x v="2"/>
    <s v="Patna"/>
    <x v="1"/>
    <s v="Keyboard"/>
    <n v="1"/>
    <n v="44500"/>
    <x v="0"/>
    <s v="Shipped"/>
    <n v="44500"/>
  </r>
  <r>
    <s v="ORD10915"/>
    <s v="CUST0377"/>
    <x v="244"/>
    <x v="1"/>
    <s v="Lucknow"/>
    <x v="0"/>
    <s v="Cookware Set"/>
    <n v="3"/>
    <n v="6550"/>
    <x v="0"/>
    <s v="Delivered"/>
    <n v="19650"/>
  </r>
  <r>
    <s v="ORD10916"/>
    <s v="CUST0445"/>
    <x v="200"/>
    <x v="1"/>
    <s v="Delhi"/>
    <x v="1"/>
    <s v="Keyboard"/>
    <n v="2"/>
    <n v="15500"/>
    <x v="0"/>
    <s v="Cancelled"/>
    <n v="31000"/>
  </r>
  <r>
    <s v="ORD10917"/>
    <s v="CUST0267"/>
    <x v="332"/>
    <x v="1"/>
    <s v="Lucknow"/>
    <x v="2"/>
    <s v="Jeans"/>
    <n v="2"/>
    <n v="5850"/>
    <x v="3"/>
    <s v="Cancelled"/>
    <n v="11700"/>
  </r>
  <r>
    <s v="ORD10918"/>
    <s v="CUST0175"/>
    <x v="49"/>
    <x v="0"/>
    <s v="Vijayawada"/>
    <x v="0"/>
    <s v="Cookware Set"/>
    <n v="3"/>
    <n v="1350"/>
    <x v="0"/>
    <s v="Delivered"/>
    <n v="4050"/>
  </r>
  <r>
    <s v="ORD10919"/>
    <s v="CUST0111"/>
    <x v="212"/>
    <x v="1"/>
    <s v="Delhi"/>
    <x v="1"/>
    <s v="Laptop"/>
    <n v="1"/>
    <n v="37250"/>
    <x v="0"/>
    <s v="Delivered"/>
    <n v="37250"/>
  </r>
  <r>
    <s v="ORD10920"/>
    <s v="CUST0271"/>
    <x v="118"/>
    <x v="2"/>
    <s v="Bhubaneswar"/>
    <x v="2"/>
    <s v="Sneakers"/>
    <n v="1"/>
    <n v="1300"/>
    <x v="0"/>
    <s v="Delivered"/>
    <n v="1300"/>
  </r>
  <r>
    <s v="ORD10921"/>
    <s v="CUST0378"/>
    <x v="333"/>
    <x v="0"/>
    <s v="Bengaluru"/>
    <x v="0"/>
    <s v="Water Bottle"/>
    <n v="1"/>
    <n v="3850"/>
    <x v="0"/>
    <s v="Delivered"/>
    <n v="3850"/>
  </r>
  <r>
    <s v="ORD10922"/>
    <s v="CUST0127"/>
    <x v="216"/>
    <x v="1"/>
    <s v="Delhi"/>
    <x v="1"/>
    <s v="Headphones"/>
    <n v="5"/>
    <n v="21050"/>
    <x v="0"/>
    <s v="Delivered"/>
    <n v="105250"/>
  </r>
  <r>
    <s v="ORD10923"/>
    <s v="CUST0436"/>
    <x v="98"/>
    <x v="3"/>
    <s v="Surat"/>
    <x v="2"/>
    <s v="Sneakers"/>
    <n v="2"/>
    <n v="7200"/>
    <x v="2"/>
    <s v="Delivered"/>
    <n v="14400"/>
  </r>
  <r>
    <s v="ORD10924"/>
    <s v="CUST0207"/>
    <x v="231"/>
    <x v="1"/>
    <s v="Delhi"/>
    <x v="0"/>
    <s v="Air Fryer"/>
    <n v="2"/>
    <n v="4750"/>
    <x v="2"/>
    <s v="Delivered"/>
    <n v="9500"/>
  </r>
  <r>
    <s v="ORD10925"/>
    <s v="CUST0035"/>
    <x v="201"/>
    <x v="1"/>
    <s v="Chandigarh"/>
    <x v="3"/>
    <s v="Dumbbells"/>
    <n v="1"/>
    <n v="8350"/>
    <x v="0"/>
    <s v="Delivered"/>
    <n v="8350"/>
  </r>
  <r>
    <s v="ORD10926"/>
    <s v="CUST0333"/>
    <x v="250"/>
    <x v="1"/>
    <s v="Delhi"/>
    <x v="3"/>
    <s v="Yoga Mat"/>
    <n v="2"/>
    <n v="8900"/>
    <x v="0"/>
    <s v="Delivered"/>
    <n v="17800"/>
  </r>
  <r>
    <s v="ORD10927"/>
    <s v="CUST0038"/>
    <x v="76"/>
    <x v="0"/>
    <s v="Vijayawada"/>
    <x v="1"/>
    <s v="Monitor"/>
    <n v="1"/>
    <n v="51900"/>
    <x v="2"/>
    <s v="Cancelled"/>
    <n v="51900"/>
  </r>
  <r>
    <s v="ORD10928"/>
    <s v="CUST0244"/>
    <x v="210"/>
    <x v="3"/>
    <s v="Mumbai"/>
    <x v="2"/>
    <s v="T-Shirt"/>
    <n v="2"/>
    <n v="2250"/>
    <x v="0"/>
    <s v="Delivered"/>
    <n v="4500"/>
  </r>
  <r>
    <s v="ORD10929"/>
    <s v="CUST0155"/>
    <x v="108"/>
    <x v="2"/>
    <s v="Bhubaneswar"/>
    <x v="2"/>
    <s v="Backpack"/>
    <n v="4"/>
    <n v="1000"/>
    <x v="0"/>
    <s v="Shipped"/>
    <n v="4000"/>
  </r>
  <r>
    <s v="ORD10930"/>
    <s v="CUST0439"/>
    <x v="294"/>
    <x v="0"/>
    <s v="Vijayawada"/>
    <x v="4"/>
    <s v="Face Wash"/>
    <n v="2"/>
    <n v="3900"/>
    <x v="0"/>
    <s v="Delivered"/>
    <n v="7800"/>
  </r>
  <r>
    <s v="ORD10931"/>
    <s v="CUST0433"/>
    <x v="270"/>
    <x v="2"/>
    <s v="Patna"/>
    <x v="2"/>
    <s v="Watch"/>
    <n v="1"/>
    <n v="4000"/>
    <x v="1"/>
    <s v="Cancelled"/>
    <n v="4000"/>
  </r>
  <r>
    <s v="ORD10932"/>
    <s v="CUST0367"/>
    <x v="298"/>
    <x v="3"/>
    <s v="Ahmedabad"/>
    <x v="3"/>
    <s v="Running Shoes"/>
    <n v="1"/>
    <n v="6800"/>
    <x v="0"/>
    <s v="Delivered"/>
    <n v="6800"/>
  </r>
  <r>
    <s v="ORD10933"/>
    <s v="CUST0244"/>
    <x v="84"/>
    <x v="2"/>
    <s v="Patna"/>
    <x v="3"/>
    <s v="Cricket Bat"/>
    <n v="1"/>
    <n v="1950"/>
    <x v="3"/>
    <s v="Delivered"/>
    <n v="1950"/>
  </r>
  <r>
    <s v="ORD10934"/>
    <s v="CUST0222"/>
    <x v="334"/>
    <x v="0"/>
    <s v="Hyderabad"/>
    <x v="3"/>
    <s v="Running Shoes"/>
    <n v="2"/>
    <n v="7050"/>
    <x v="4"/>
    <s v="Delivered"/>
    <n v="14100"/>
  </r>
  <r>
    <s v="ORD10935"/>
    <s v="CUST0077"/>
    <x v="250"/>
    <x v="2"/>
    <s v="Patna"/>
    <x v="1"/>
    <s v="Monitor"/>
    <n v="1"/>
    <n v="59550"/>
    <x v="2"/>
    <s v="Delivered"/>
    <n v="59550"/>
  </r>
  <r>
    <s v="ORD10936"/>
    <s v="CUST0061"/>
    <x v="135"/>
    <x v="3"/>
    <s v="Surat"/>
    <x v="2"/>
    <s v="Sneakers"/>
    <n v="2"/>
    <n v="2750"/>
    <x v="0"/>
    <s v="Shipped"/>
    <n v="5500"/>
  </r>
  <r>
    <s v="ORD10937"/>
    <s v="CUST0336"/>
    <x v="178"/>
    <x v="3"/>
    <s v="Mumbai"/>
    <x v="3"/>
    <s v="Yoga Mat"/>
    <n v="1"/>
    <n v="3100"/>
    <x v="0"/>
    <s v="Delivered"/>
    <n v="3100"/>
  </r>
  <r>
    <s v="ORD10938"/>
    <s v="CUST0279"/>
    <x v="25"/>
    <x v="0"/>
    <s v="Bengaluru"/>
    <x v="0"/>
    <s v="Air Fryer"/>
    <n v="1"/>
    <n v="2900"/>
    <x v="4"/>
    <s v="Delivered"/>
    <n v="2900"/>
  </r>
  <r>
    <s v="ORD10939"/>
    <s v="CUST0236"/>
    <x v="20"/>
    <x v="3"/>
    <s v="Ahmedabad"/>
    <x v="3"/>
    <s v="Cricket Bat"/>
    <n v="2"/>
    <n v="1050"/>
    <x v="3"/>
    <s v="Delivered"/>
    <n v="2100"/>
  </r>
  <r>
    <s v="ORD10940"/>
    <s v="CUST0148"/>
    <x v="165"/>
    <x v="3"/>
    <s v="Pune"/>
    <x v="4"/>
    <s v="Shampoo"/>
    <n v="3"/>
    <n v="2400"/>
    <x v="2"/>
    <s v="Shipped"/>
    <n v="7200"/>
  </r>
  <r>
    <s v="ORD10941"/>
    <s v="CUST0364"/>
    <x v="111"/>
    <x v="1"/>
    <s v="Delhi"/>
    <x v="0"/>
    <s v="Water Bottle"/>
    <n v="3"/>
    <n v="350"/>
    <x v="3"/>
    <s v="Delivered"/>
    <n v="1050"/>
  </r>
  <r>
    <s v="ORD10942"/>
    <s v="CUST0012"/>
    <x v="316"/>
    <x v="2"/>
    <s v="Kolkata"/>
    <x v="1"/>
    <s v="Headphones"/>
    <n v="1"/>
    <n v="7050"/>
    <x v="3"/>
    <s v="Delivered"/>
    <n v="7050"/>
  </r>
  <r>
    <s v="ORD10943"/>
    <s v="CUST0193"/>
    <x v="253"/>
    <x v="0"/>
    <s v="Chennai"/>
    <x v="3"/>
    <s v="Cricket Bat"/>
    <n v="2"/>
    <n v="1450"/>
    <x v="3"/>
    <s v="Delivered"/>
    <n v="2900"/>
  </r>
  <r>
    <s v="ORD10944"/>
    <s v="CUST0326"/>
    <x v="256"/>
    <x v="0"/>
    <s v="Hyderabad"/>
    <x v="1"/>
    <s v="Laptop"/>
    <n v="2"/>
    <n v="62450"/>
    <x v="3"/>
    <s v="Delivered"/>
    <n v="124900"/>
  </r>
  <r>
    <s v="ORD10945"/>
    <s v="CUST0440"/>
    <x v="112"/>
    <x v="0"/>
    <s v="Chennai"/>
    <x v="1"/>
    <s v="Laptop"/>
    <n v="1"/>
    <n v="41300"/>
    <x v="4"/>
    <s v="Delivered"/>
    <n v="41300"/>
  </r>
  <r>
    <s v="ORD10946"/>
    <s v="CUST0125"/>
    <x v="274"/>
    <x v="2"/>
    <s v="Guwahati"/>
    <x v="1"/>
    <s v="Laptop"/>
    <n v="1"/>
    <n v="37400"/>
    <x v="2"/>
    <s v="Delivered"/>
    <n v="37400"/>
  </r>
  <r>
    <s v="ORD10947"/>
    <s v="CUST0444"/>
    <x v="300"/>
    <x v="3"/>
    <s v="Ahmedabad"/>
    <x v="3"/>
    <s v="Cricket Bat"/>
    <n v="4"/>
    <n v="5550"/>
    <x v="4"/>
    <s v="Delivered"/>
    <n v="22200"/>
  </r>
  <r>
    <s v="ORD10948"/>
    <s v="CUST0246"/>
    <x v="125"/>
    <x v="3"/>
    <s v="Surat"/>
    <x v="4"/>
    <s v="Face Wash"/>
    <n v="1"/>
    <n v="2750"/>
    <x v="3"/>
    <s v="Delivered"/>
    <n v="2750"/>
  </r>
  <r>
    <s v="ORD10949"/>
    <s v="CUST0447"/>
    <x v="261"/>
    <x v="2"/>
    <s v="Patna"/>
    <x v="0"/>
    <s v="Table Lamp"/>
    <n v="4"/>
    <n v="3050"/>
    <x v="2"/>
    <s v="Delivered"/>
    <n v="12200"/>
  </r>
  <r>
    <s v="ORD10950"/>
    <s v="CUST0313"/>
    <x v="140"/>
    <x v="2"/>
    <s v="Bhubaneswar"/>
    <x v="1"/>
    <s v="Smartphone"/>
    <n v="4"/>
    <n v="25550"/>
    <x v="3"/>
    <s v="Returned"/>
    <n v="102200"/>
  </r>
  <r>
    <s v="ORD10951"/>
    <s v="CUST0019"/>
    <x v="183"/>
    <x v="3"/>
    <s v="Pune"/>
    <x v="4"/>
    <s v="Hair Dryer"/>
    <n v="5"/>
    <n v="1650"/>
    <x v="1"/>
    <s v="Delivered"/>
    <n v="8250"/>
  </r>
  <r>
    <s v="ORD10952"/>
    <s v="CUST0105"/>
    <x v="84"/>
    <x v="2"/>
    <s v="Bhubaneswar"/>
    <x v="4"/>
    <s v="Perfume"/>
    <n v="1"/>
    <n v="2750"/>
    <x v="1"/>
    <s v="Delivered"/>
    <n v="2750"/>
  </r>
  <r>
    <s v="ORD10953"/>
    <s v="CUST0005"/>
    <x v="242"/>
    <x v="0"/>
    <s v="Hyderabad"/>
    <x v="0"/>
    <s v="Table Lamp"/>
    <n v="1"/>
    <n v="7850"/>
    <x v="1"/>
    <s v="Delivered"/>
    <n v="7850"/>
  </r>
  <r>
    <s v="ORD10954"/>
    <s v="CUST0234"/>
    <x v="241"/>
    <x v="0"/>
    <s v="Hyderabad"/>
    <x v="4"/>
    <s v="Hair Dryer"/>
    <n v="2"/>
    <n v="4850"/>
    <x v="0"/>
    <s v="Delivered"/>
    <n v="9700"/>
  </r>
  <r>
    <s v="ORD10955"/>
    <s v="CUST0307"/>
    <x v="141"/>
    <x v="3"/>
    <s v="Pune"/>
    <x v="2"/>
    <s v="T-Shirt"/>
    <n v="4"/>
    <n v="2700"/>
    <x v="0"/>
    <s v="Delivered"/>
    <n v="10800"/>
  </r>
  <r>
    <s v="ORD10956"/>
    <s v="CUST0019"/>
    <x v="217"/>
    <x v="0"/>
    <s v="Bengaluru"/>
    <x v="1"/>
    <s v="Monitor"/>
    <n v="1"/>
    <n v="56650"/>
    <x v="1"/>
    <s v="Delivered"/>
    <n v="56650"/>
  </r>
  <r>
    <s v="ORD10957"/>
    <s v="CUST0349"/>
    <x v="261"/>
    <x v="1"/>
    <s v="Lucknow"/>
    <x v="0"/>
    <s v="Mixer Grinder"/>
    <n v="1"/>
    <n v="1050"/>
    <x v="3"/>
    <s v="Delivered"/>
    <n v="1050"/>
  </r>
  <r>
    <s v="ORD10958"/>
    <s v="CUST0051"/>
    <x v="36"/>
    <x v="0"/>
    <s v="Chennai"/>
    <x v="4"/>
    <s v="Shampoo"/>
    <n v="2"/>
    <n v="1650"/>
    <x v="0"/>
    <s v="Delivered"/>
    <n v="3300"/>
  </r>
  <r>
    <s v="ORD10959"/>
    <s v="CUST0253"/>
    <x v="65"/>
    <x v="0"/>
    <s v="Hyderabad"/>
    <x v="1"/>
    <s v="Laptop"/>
    <n v="1"/>
    <n v="64750"/>
    <x v="0"/>
    <s v="Delivered"/>
    <n v="64750"/>
  </r>
  <r>
    <s v="ORD10960"/>
    <s v="CUST0216"/>
    <x v="212"/>
    <x v="0"/>
    <s v="Bengaluru"/>
    <x v="0"/>
    <s v="Cookware Set"/>
    <n v="1"/>
    <n v="3200"/>
    <x v="2"/>
    <s v="Delivered"/>
    <n v="3200"/>
  </r>
  <r>
    <s v="ORD10961"/>
    <s v="CUST0366"/>
    <x v="49"/>
    <x v="3"/>
    <s v="Ahmedabad"/>
    <x v="0"/>
    <s v="Water Bottle"/>
    <n v="4"/>
    <n v="3800"/>
    <x v="2"/>
    <s v="Delivered"/>
    <n v="15200"/>
  </r>
  <r>
    <s v="ORD10962"/>
    <s v="CUST0401"/>
    <x v="25"/>
    <x v="2"/>
    <s v="Guwahati"/>
    <x v="1"/>
    <s v="Smartphone"/>
    <n v="3"/>
    <n v="11900"/>
    <x v="0"/>
    <s v="Delivered"/>
    <n v="35700"/>
  </r>
  <r>
    <s v="ORD10963"/>
    <s v="CUST0365"/>
    <x v="4"/>
    <x v="0"/>
    <s v="Vijayawada"/>
    <x v="2"/>
    <s v="Sneakers"/>
    <n v="4"/>
    <n v="5900"/>
    <x v="3"/>
    <s v="Delivered"/>
    <n v="23600"/>
  </r>
  <r>
    <s v="ORD10964"/>
    <s v="CUST0344"/>
    <x v="164"/>
    <x v="1"/>
    <s v="Jaipur"/>
    <x v="0"/>
    <s v="Air Fryer"/>
    <n v="3"/>
    <n v="8800"/>
    <x v="2"/>
    <s v="Delivered"/>
    <n v="26400"/>
  </r>
  <r>
    <s v="ORD10965"/>
    <s v="CUST0086"/>
    <x v="335"/>
    <x v="3"/>
    <s v="Pune"/>
    <x v="2"/>
    <s v="Watch"/>
    <n v="1"/>
    <n v="3750"/>
    <x v="3"/>
    <s v="Delivered"/>
    <n v="3750"/>
  </r>
  <r>
    <s v="ORD10966"/>
    <s v="CUST0293"/>
    <x v="336"/>
    <x v="3"/>
    <s v="Surat"/>
    <x v="1"/>
    <s v="Smartphone"/>
    <n v="1"/>
    <n v="47650"/>
    <x v="1"/>
    <s v="Delivered"/>
    <n v="47650"/>
  </r>
  <r>
    <s v="ORD10967"/>
    <s v="CUST0424"/>
    <x v="155"/>
    <x v="3"/>
    <s v="Pune"/>
    <x v="4"/>
    <s v="Perfume"/>
    <n v="2"/>
    <n v="250"/>
    <x v="2"/>
    <s v="Shipped"/>
    <n v="500"/>
  </r>
  <r>
    <s v="ORD10968"/>
    <s v="CUST0108"/>
    <x v="128"/>
    <x v="0"/>
    <s v="Hyderabad"/>
    <x v="3"/>
    <s v="Yoga Mat"/>
    <n v="1"/>
    <n v="1300"/>
    <x v="1"/>
    <s v="Delivered"/>
    <n v="1300"/>
  </r>
  <r>
    <s v="ORD10969"/>
    <s v="CUST0029"/>
    <x v="317"/>
    <x v="0"/>
    <s v="Vijayawada"/>
    <x v="1"/>
    <s v="Keyboard"/>
    <n v="1"/>
    <n v="53150"/>
    <x v="3"/>
    <s v="Delivered"/>
    <n v="53150"/>
  </r>
  <r>
    <s v="ORD10970"/>
    <s v="CUST0265"/>
    <x v="216"/>
    <x v="3"/>
    <s v="Ahmedabad"/>
    <x v="3"/>
    <s v="Running Shoes"/>
    <n v="1"/>
    <n v="800"/>
    <x v="1"/>
    <s v="Delivered"/>
    <n v="800"/>
  </r>
  <r>
    <s v="ORD10971"/>
    <s v="CUST0020"/>
    <x v="312"/>
    <x v="3"/>
    <s v="Mumbai"/>
    <x v="3"/>
    <s v="Cricket Bat"/>
    <n v="1"/>
    <n v="4700"/>
    <x v="0"/>
    <s v="Delivered"/>
    <n v="4700"/>
  </r>
  <r>
    <s v="ORD10972"/>
    <s v="CUST0297"/>
    <x v="311"/>
    <x v="1"/>
    <s v="Chandigarh"/>
    <x v="4"/>
    <s v="Hair Dryer"/>
    <n v="2"/>
    <n v="4250"/>
    <x v="1"/>
    <s v="Delivered"/>
    <n v="8500"/>
  </r>
  <r>
    <s v="ORD10973"/>
    <s v="CUST0275"/>
    <x v="143"/>
    <x v="1"/>
    <s v="Jaipur"/>
    <x v="4"/>
    <s v="Face Wash"/>
    <n v="1"/>
    <n v="1250"/>
    <x v="0"/>
    <s v="Delivered"/>
    <n v="1250"/>
  </r>
  <r>
    <s v="ORD10974"/>
    <s v="CUST0343"/>
    <x v="318"/>
    <x v="3"/>
    <s v="Ahmedabad"/>
    <x v="0"/>
    <s v="Water Bottle"/>
    <n v="1"/>
    <n v="2600"/>
    <x v="1"/>
    <s v="Delivered"/>
    <n v="2600"/>
  </r>
  <r>
    <s v="ORD10975"/>
    <s v="CUST0421"/>
    <x v="74"/>
    <x v="2"/>
    <s v="Patna"/>
    <x v="1"/>
    <s v="Smartphone"/>
    <n v="1"/>
    <n v="7500"/>
    <x v="0"/>
    <s v="Delivered"/>
    <n v="7500"/>
  </r>
  <r>
    <s v="ORD10976"/>
    <s v="CUST0069"/>
    <x v="108"/>
    <x v="0"/>
    <s v="Vijayawada"/>
    <x v="1"/>
    <s v="Headphones"/>
    <n v="4"/>
    <n v="36600"/>
    <x v="0"/>
    <s v="Delivered"/>
    <n v="146400"/>
  </r>
  <r>
    <s v="ORD10977"/>
    <s v="CUST0107"/>
    <x v="25"/>
    <x v="1"/>
    <s v="Chandigarh"/>
    <x v="0"/>
    <s v="Air Fryer"/>
    <n v="2"/>
    <n v="8500"/>
    <x v="2"/>
    <s v="Shipped"/>
    <n v="17000"/>
  </r>
  <r>
    <s v="ORD10978"/>
    <s v="CUST0327"/>
    <x v="31"/>
    <x v="0"/>
    <s v="Bengaluru"/>
    <x v="2"/>
    <s v="Sneakers"/>
    <n v="2"/>
    <n v="7750"/>
    <x v="3"/>
    <s v="Delivered"/>
    <n v="15500"/>
  </r>
  <r>
    <s v="ORD10979"/>
    <s v="CUST0181"/>
    <x v="337"/>
    <x v="2"/>
    <s v="Bhubaneswar"/>
    <x v="0"/>
    <s v="Water Bottle"/>
    <n v="1"/>
    <n v="5050"/>
    <x v="0"/>
    <s v="Delivered"/>
    <n v="5050"/>
  </r>
  <r>
    <s v="ORD10980"/>
    <s v="CUST0348"/>
    <x v="91"/>
    <x v="2"/>
    <s v="Guwahati"/>
    <x v="1"/>
    <s v="Laptop"/>
    <n v="1"/>
    <n v="9250"/>
    <x v="2"/>
    <s v="Delivered"/>
    <n v="9250"/>
  </r>
  <r>
    <s v="ORD10981"/>
    <s v="CUST0099"/>
    <x v="55"/>
    <x v="3"/>
    <s v="Pune"/>
    <x v="3"/>
    <s v="Yoga Mat"/>
    <n v="1"/>
    <n v="1100"/>
    <x v="1"/>
    <s v="Delivered"/>
    <n v="1100"/>
  </r>
  <r>
    <s v="ORD10982"/>
    <s v="CUST0371"/>
    <x v="338"/>
    <x v="0"/>
    <s v="Vijayawada"/>
    <x v="0"/>
    <s v="Air Fryer"/>
    <n v="1"/>
    <n v="5300"/>
    <x v="2"/>
    <s v="Delivered"/>
    <n v="5300"/>
  </r>
  <r>
    <s v="ORD10983"/>
    <s v="CUST0390"/>
    <x v="18"/>
    <x v="3"/>
    <s v="Surat"/>
    <x v="3"/>
    <s v="Running Shoes"/>
    <n v="2"/>
    <n v="3650"/>
    <x v="0"/>
    <s v="Delivered"/>
    <n v="7300"/>
  </r>
  <r>
    <s v="ORD10984"/>
    <s v="CUST0191"/>
    <x v="213"/>
    <x v="0"/>
    <s v="Vijayawada"/>
    <x v="3"/>
    <s v="Running Shoes"/>
    <n v="2"/>
    <n v="7200"/>
    <x v="2"/>
    <s v="Shipped"/>
    <n v="14400"/>
  </r>
  <r>
    <s v="ORD10985"/>
    <s v="CUST0053"/>
    <x v="291"/>
    <x v="2"/>
    <s v="Kolkata"/>
    <x v="0"/>
    <s v="Air Fryer"/>
    <n v="1"/>
    <n v="4950"/>
    <x v="0"/>
    <s v="Delivered"/>
    <n v="4950"/>
  </r>
  <r>
    <s v="ORD10986"/>
    <s v="CUST0252"/>
    <x v="137"/>
    <x v="1"/>
    <s v="Lucknow"/>
    <x v="2"/>
    <s v="Sneakers"/>
    <n v="3"/>
    <n v="8000"/>
    <x v="1"/>
    <s v="Returned"/>
    <n v="24000"/>
  </r>
  <r>
    <s v="ORD10987"/>
    <s v="CUST0186"/>
    <x v="39"/>
    <x v="0"/>
    <s v="Hyderabad"/>
    <x v="2"/>
    <s v="T-Shirt"/>
    <n v="2"/>
    <n v="4000"/>
    <x v="3"/>
    <s v="Delivered"/>
    <n v="8000"/>
  </r>
  <r>
    <s v="ORD10988"/>
    <s v="CUST0424"/>
    <x v="249"/>
    <x v="0"/>
    <s v="Vijayawada"/>
    <x v="1"/>
    <s v="Headphones"/>
    <n v="1"/>
    <n v="9100"/>
    <x v="2"/>
    <s v="Delivered"/>
    <n v="9100"/>
  </r>
  <r>
    <s v="ORD10989"/>
    <s v="CUST0045"/>
    <x v="112"/>
    <x v="1"/>
    <s v="Chandigarh"/>
    <x v="3"/>
    <s v="Dumbbells"/>
    <n v="2"/>
    <n v="7400"/>
    <x v="0"/>
    <s v="Delivered"/>
    <n v="14800"/>
  </r>
  <r>
    <s v="ORD10990"/>
    <s v="CUST0082"/>
    <x v="216"/>
    <x v="0"/>
    <s v="Bengaluru"/>
    <x v="2"/>
    <s v="Jeans"/>
    <n v="5"/>
    <n v="2400"/>
    <x v="0"/>
    <s v="Delivered"/>
    <n v="12000"/>
  </r>
  <r>
    <s v="ORD10991"/>
    <s v="CUST0088"/>
    <x v="160"/>
    <x v="3"/>
    <s v="Ahmedabad"/>
    <x v="3"/>
    <s v="Yoga Mat"/>
    <n v="4"/>
    <n v="9200"/>
    <x v="1"/>
    <s v="Delivered"/>
    <n v="36800"/>
  </r>
  <r>
    <s v="ORD10992"/>
    <s v="CUST0309"/>
    <x v="244"/>
    <x v="2"/>
    <s v="Patna"/>
    <x v="1"/>
    <s v="Headphones"/>
    <n v="2"/>
    <n v="49500"/>
    <x v="1"/>
    <s v="Returned"/>
    <n v="99000"/>
  </r>
  <r>
    <s v="ORD10993"/>
    <s v="CUST0443"/>
    <x v="196"/>
    <x v="0"/>
    <s v="Hyderabad"/>
    <x v="0"/>
    <s v="Water Bottle"/>
    <n v="1"/>
    <n v="450"/>
    <x v="0"/>
    <s v="Cancelled"/>
    <n v="450"/>
  </r>
  <r>
    <s v="ORD10994"/>
    <s v="CUST0015"/>
    <x v="144"/>
    <x v="3"/>
    <s v="Ahmedabad"/>
    <x v="2"/>
    <s v="T-Shirt"/>
    <n v="1"/>
    <n v="7650"/>
    <x v="0"/>
    <s v="Cancelled"/>
    <n v="7650"/>
  </r>
  <r>
    <s v="ORD10995"/>
    <s v="CUST0424"/>
    <x v="108"/>
    <x v="0"/>
    <s v="Vijayawada"/>
    <x v="4"/>
    <s v="Perfume"/>
    <n v="1"/>
    <n v="2650"/>
    <x v="0"/>
    <s v="Shipped"/>
    <n v="2650"/>
  </r>
  <r>
    <s v="ORD10996"/>
    <s v="CUST0307"/>
    <x v="339"/>
    <x v="0"/>
    <s v="Bengaluru"/>
    <x v="3"/>
    <s v="Football"/>
    <n v="2"/>
    <n v="9950"/>
    <x v="0"/>
    <s v="Delivered"/>
    <n v="19900"/>
  </r>
  <r>
    <s v="ORD10997"/>
    <s v="CUST0125"/>
    <x v="207"/>
    <x v="3"/>
    <s v="Ahmedabad"/>
    <x v="2"/>
    <s v="Jeans"/>
    <n v="1"/>
    <n v="5950"/>
    <x v="2"/>
    <s v="Cancelled"/>
    <n v="5950"/>
  </r>
  <r>
    <s v="ORD10998"/>
    <s v="CUST0338"/>
    <x v="154"/>
    <x v="1"/>
    <s v="Lucknow"/>
    <x v="1"/>
    <s v="Smartphone"/>
    <n v="1"/>
    <n v="44950"/>
    <x v="0"/>
    <s v="Returned"/>
    <n v="44950"/>
  </r>
  <r>
    <s v="ORD10999"/>
    <s v="CUST0008"/>
    <x v="98"/>
    <x v="0"/>
    <s v="Vijayawada"/>
    <x v="0"/>
    <s v="Table Lamp"/>
    <n v="1"/>
    <n v="3950"/>
    <x v="2"/>
    <s v="Delivered"/>
    <n v="3950"/>
  </r>
  <r>
    <s v="ORD11000"/>
    <s v="CUST0042"/>
    <x v="314"/>
    <x v="3"/>
    <s v="Ahmedabad"/>
    <x v="0"/>
    <s v="Table Lamp"/>
    <n v="1"/>
    <n v="1100"/>
    <x v="2"/>
    <s v="Delivered"/>
    <n v="1100"/>
  </r>
  <r>
    <s v="ORD11001"/>
    <s v="CUST0235"/>
    <x v="237"/>
    <x v="2"/>
    <s v="Bhubaneswar"/>
    <x v="1"/>
    <s v="Keyboard"/>
    <n v="2"/>
    <n v="57150"/>
    <x v="1"/>
    <s v="Shipped"/>
    <n v="114300"/>
  </r>
  <r>
    <s v="ORD11002"/>
    <s v="CUST0382"/>
    <x v="90"/>
    <x v="3"/>
    <s v="Ahmedabad"/>
    <x v="0"/>
    <s v="Cookware Set"/>
    <n v="1"/>
    <n v="3650"/>
    <x v="3"/>
    <s v="Delivered"/>
    <n v="3650"/>
  </r>
  <r>
    <s v="ORD11003"/>
    <s v="CUST0052"/>
    <x v="274"/>
    <x v="3"/>
    <s v="Ahmedabad"/>
    <x v="0"/>
    <s v="Air Fryer"/>
    <n v="1"/>
    <n v="3350"/>
    <x v="0"/>
    <s v="Delivered"/>
    <n v="3350"/>
  </r>
  <r>
    <s v="ORD11004"/>
    <s v="CUST0255"/>
    <x v="275"/>
    <x v="2"/>
    <s v="Patna"/>
    <x v="3"/>
    <s v="Yoga Mat"/>
    <n v="1"/>
    <n v="3300"/>
    <x v="2"/>
    <s v="Delivered"/>
    <n v="3300"/>
  </r>
  <r>
    <s v="ORD11005"/>
    <s v="CUST0393"/>
    <x v="243"/>
    <x v="0"/>
    <s v="Bengaluru"/>
    <x v="0"/>
    <s v="Cookware Set"/>
    <n v="1"/>
    <n v="7800"/>
    <x v="1"/>
    <s v="Delivered"/>
    <n v="7800"/>
  </r>
  <r>
    <s v="ORD11006"/>
    <s v="CUST0290"/>
    <x v="112"/>
    <x v="3"/>
    <s v="Mumbai"/>
    <x v="1"/>
    <s v="Smartphone"/>
    <n v="1"/>
    <n v="7500"/>
    <x v="3"/>
    <s v="Delivered"/>
    <n v="7500"/>
  </r>
  <r>
    <s v="ORD11007"/>
    <s v="CUST0331"/>
    <x v="259"/>
    <x v="2"/>
    <s v="Patna"/>
    <x v="4"/>
    <s v="Moisturizer"/>
    <n v="2"/>
    <n v="3750"/>
    <x v="1"/>
    <s v="Delivered"/>
    <n v="7500"/>
  </r>
  <r>
    <s v="ORD11008"/>
    <s v="CUST0328"/>
    <x v="41"/>
    <x v="1"/>
    <s v="Lucknow"/>
    <x v="1"/>
    <s v="Laptop"/>
    <n v="2"/>
    <n v="800"/>
    <x v="1"/>
    <s v="Shipped"/>
    <n v="1600"/>
  </r>
  <r>
    <s v="ORD11009"/>
    <s v="CUST0258"/>
    <x v="1"/>
    <x v="0"/>
    <s v="Hyderabad"/>
    <x v="0"/>
    <s v="Water Bottle"/>
    <n v="1"/>
    <n v="1600"/>
    <x v="0"/>
    <s v="Delivered"/>
    <n v="1600"/>
  </r>
  <r>
    <s v="ORD11010"/>
    <s v="CUST0441"/>
    <x v="19"/>
    <x v="3"/>
    <s v="Mumbai"/>
    <x v="3"/>
    <s v="Running Shoes"/>
    <n v="1"/>
    <n v="650"/>
    <x v="4"/>
    <s v="Delivered"/>
    <n v="650"/>
  </r>
  <r>
    <s v="ORD11011"/>
    <s v="CUST0111"/>
    <x v="292"/>
    <x v="2"/>
    <s v="Guwahati"/>
    <x v="3"/>
    <s v="Running Shoes"/>
    <n v="3"/>
    <n v="3150"/>
    <x v="0"/>
    <s v="Delivered"/>
    <n v="9450"/>
  </r>
  <r>
    <s v="ORD11012"/>
    <s v="CUST0143"/>
    <x v="167"/>
    <x v="1"/>
    <s v="Delhi"/>
    <x v="1"/>
    <s v="Laptop"/>
    <n v="3"/>
    <n v="19300"/>
    <x v="3"/>
    <s v="Delivered"/>
    <n v="57900"/>
  </r>
  <r>
    <s v="ORD11013"/>
    <s v="CUST0199"/>
    <x v="49"/>
    <x v="1"/>
    <s v="Chandigarh"/>
    <x v="0"/>
    <s v="Table Lamp"/>
    <n v="2"/>
    <n v="2550"/>
    <x v="2"/>
    <s v="Delivered"/>
    <n v="5100"/>
  </r>
  <r>
    <s v="ORD11014"/>
    <s v="CUST0253"/>
    <x v="141"/>
    <x v="3"/>
    <s v="Surat"/>
    <x v="4"/>
    <s v="Perfume"/>
    <n v="1"/>
    <n v="2200"/>
    <x v="2"/>
    <s v="Delivered"/>
    <n v="2200"/>
  </r>
  <r>
    <s v="ORD11015"/>
    <s v="CUST0243"/>
    <x v="135"/>
    <x v="0"/>
    <s v="Hyderabad"/>
    <x v="2"/>
    <s v="Jeans"/>
    <n v="5"/>
    <n v="4100"/>
    <x v="0"/>
    <s v="Cancelled"/>
    <n v="20500"/>
  </r>
  <r>
    <s v="ORD11016"/>
    <s v="CUST0175"/>
    <x v="98"/>
    <x v="3"/>
    <s v="Ahmedabad"/>
    <x v="3"/>
    <s v="Football"/>
    <n v="1"/>
    <n v="6700"/>
    <x v="0"/>
    <s v="Delivered"/>
    <n v="6700"/>
  </r>
  <r>
    <s v="ORD11017"/>
    <s v="CUST0087"/>
    <x v="51"/>
    <x v="0"/>
    <s v="Vijayawada"/>
    <x v="2"/>
    <s v="Sneakers"/>
    <n v="2"/>
    <n v="4200"/>
    <x v="0"/>
    <s v="Delivered"/>
    <n v="8400"/>
  </r>
  <r>
    <s v="ORD11018"/>
    <s v="CUST0375"/>
    <x v="71"/>
    <x v="0"/>
    <s v="Chennai"/>
    <x v="3"/>
    <s v="Football"/>
    <n v="2"/>
    <n v="4250"/>
    <x v="2"/>
    <s v="Delivered"/>
    <n v="8500"/>
  </r>
  <r>
    <s v="ORD11019"/>
    <s v="CUST0090"/>
    <x v="70"/>
    <x v="1"/>
    <s v="Chandigarh"/>
    <x v="2"/>
    <s v="T-Shirt"/>
    <n v="1"/>
    <n v="6400"/>
    <x v="0"/>
    <s v="Delivered"/>
    <n v="6400"/>
  </r>
  <r>
    <s v="ORD11020"/>
    <s v="CUST0214"/>
    <x v="31"/>
    <x v="1"/>
    <s v="Delhi"/>
    <x v="1"/>
    <s v="Keyboard"/>
    <n v="3"/>
    <n v="60350"/>
    <x v="0"/>
    <s v="Delivered"/>
    <n v="181050"/>
  </r>
  <r>
    <s v="ORD11021"/>
    <s v="CUST0250"/>
    <x v="9"/>
    <x v="2"/>
    <s v="Bhubaneswar"/>
    <x v="2"/>
    <s v="Sneakers"/>
    <n v="2"/>
    <n v="900"/>
    <x v="3"/>
    <s v="Delivered"/>
    <n v="1800"/>
  </r>
  <r>
    <s v="ORD11022"/>
    <s v="CUST0337"/>
    <x v="124"/>
    <x v="2"/>
    <s v="Patna"/>
    <x v="0"/>
    <s v="Air Fryer"/>
    <n v="2"/>
    <n v="4850"/>
    <x v="3"/>
    <s v="Delivered"/>
    <n v="9700"/>
  </r>
  <r>
    <s v="ORD11023"/>
    <s v="CUST0188"/>
    <x v="77"/>
    <x v="1"/>
    <s v="Chandigarh"/>
    <x v="4"/>
    <s v="Perfume"/>
    <n v="2"/>
    <n v="4200"/>
    <x v="1"/>
    <s v="Delivered"/>
    <n v="8400"/>
  </r>
  <r>
    <s v="ORD11024"/>
    <s v="CUST0043"/>
    <x v="137"/>
    <x v="0"/>
    <s v="Vijayawada"/>
    <x v="1"/>
    <s v="Smartphone"/>
    <n v="1"/>
    <n v="63550"/>
    <x v="2"/>
    <s v="Delivered"/>
    <n v="63550"/>
  </r>
  <r>
    <s v="ORD11025"/>
    <s v="CUST0308"/>
    <x v="213"/>
    <x v="0"/>
    <s v="Bengaluru"/>
    <x v="0"/>
    <s v="Cookware Set"/>
    <n v="1"/>
    <n v="4050"/>
    <x v="2"/>
    <s v="Delivered"/>
    <n v="4050"/>
  </r>
  <r>
    <s v="ORD11026"/>
    <s v="CUST0067"/>
    <x v="147"/>
    <x v="3"/>
    <s v="Mumbai"/>
    <x v="1"/>
    <s v="Monitor"/>
    <n v="3"/>
    <n v="13350"/>
    <x v="3"/>
    <s v="Delivered"/>
    <n v="40050"/>
  </r>
  <r>
    <s v="ORD11027"/>
    <s v="CUST0410"/>
    <x v="200"/>
    <x v="1"/>
    <s v="Lucknow"/>
    <x v="0"/>
    <s v="Mixer Grinder"/>
    <n v="2"/>
    <n v="400"/>
    <x v="2"/>
    <s v="Cancelled"/>
    <n v="800"/>
  </r>
  <r>
    <s v="ORD11028"/>
    <s v="CUST0054"/>
    <x v="27"/>
    <x v="0"/>
    <s v="Hyderabad"/>
    <x v="4"/>
    <s v="Face Wash"/>
    <n v="1"/>
    <n v="2100"/>
    <x v="0"/>
    <s v="Delivered"/>
    <n v="2100"/>
  </r>
  <r>
    <s v="ORD11029"/>
    <s v="CUST0052"/>
    <x v="340"/>
    <x v="0"/>
    <s v="Hyderabad"/>
    <x v="0"/>
    <s v="Table Lamp"/>
    <n v="3"/>
    <n v="2250"/>
    <x v="0"/>
    <s v="Delivered"/>
    <n v="6750"/>
  </r>
  <r>
    <s v="ORD11030"/>
    <s v="CUST0352"/>
    <x v="309"/>
    <x v="1"/>
    <s v="Lucknow"/>
    <x v="0"/>
    <s v="Table Lamp"/>
    <n v="2"/>
    <n v="4400"/>
    <x v="1"/>
    <s v="Delivered"/>
    <n v="8800"/>
  </r>
  <r>
    <s v="ORD11031"/>
    <s v="CUST0111"/>
    <x v="267"/>
    <x v="1"/>
    <s v="Jaipur"/>
    <x v="3"/>
    <s v="Yoga Mat"/>
    <n v="1"/>
    <n v="7300"/>
    <x v="2"/>
    <s v="Delivered"/>
    <n v="7300"/>
  </r>
  <r>
    <s v="ORD11032"/>
    <s v="CUST0088"/>
    <x v="51"/>
    <x v="3"/>
    <s v="Surat"/>
    <x v="1"/>
    <s v="Headphones"/>
    <n v="2"/>
    <n v="17300"/>
    <x v="4"/>
    <s v="Delivered"/>
    <n v="34600"/>
  </r>
  <r>
    <s v="ORD11033"/>
    <s v="CUST0078"/>
    <x v="281"/>
    <x v="1"/>
    <s v="Jaipur"/>
    <x v="0"/>
    <s v="Table Lamp"/>
    <n v="1"/>
    <n v="1350"/>
    <x v="2"/>
    <s v="Shipped"/>
    <n v="1350"/>
  </r>
  <r>
    <s v="ORD11034"/>
    <s v="CUST0214"/>
    <x v="277"/>
    <x v="0"/>
    <s v="Chennai"/>
    <x v="2"/>
    <s v="Backpack"/>
    <n v="2"/>
    <n v="3100"/>
    <x v="0"/>
    <s v="Delivered"/>
    <n v="6200"/>
  </r>
  <r>
    <s v="ORD11035"/>
    <s v="CUST0332"/>
    <x v="81"/>
    <x v="1"/>
    <s v="Chandigarh"/>
    <x v="1"/>
    <s v="Smartphone"/>
    <n v="1"/>
    <n v="21850"/>
    <x v="0"/>
    <s v="Delivered"/>
    <n v="21850"/>
  </r>
  <r>
    <s v="ORD11036"/>
    <s v="CUST0169"/>
    <x v="340"/>
    <x v="2"/>
    <s v="Patna"/>
    <x v="4"/>
    <s v="Shampoo"/>
    <n v="1"/>
    <n v="1700"/>
    <x v="1"/>
    <s v="Shipped"/>
    <n v="1700"/>
  </r>
  <r>
    <s v="ORD11037"/>
    <s v="CUST0254"/>
    <x v="191"/>
    <x v="0"/>
    <s v="Hyderabad"/>
    <x v="0"/>
    <s v="Cookware Set"/>
    <n v="1"/>
    <n v="950"/>
    <x v="0"/>
    <s v="Delivered"/>
    <n v="950"/>
  </r>
  <r>
    <s v="ORD11038"/>
    <s v="CUST0392"/>
    <x v="138"/>
    <x v="2"/>
    <s v="Bhubaneswar"/>
    <x v="2"/>
    <s v="Jeans"/>
    <n v="1"/>
    <n v="4150"/>
    <x v="4"/>
    <s v="Delivered"/>
    <n v="4150"/>
  </r>
  <r>
    <s v="ORD11039"/>
    <s v="CUST0046"/>
    <x v="152"/>
    <x v="0"/>
    <s v="Bengaluru"/>
    <x v="0"/>
    <s v="Cookware Set"/>
    <n v="3"/>
    <n v="4700"/>
    <x v="3"/>
    <s v="Delivered"/>
    <n v="14100"/>
  </r>
  <r>
    <s v="ORD11040"/>
    <s v="CUST0389"/>
    <x v="46"/>
    <x v="1"/>
    <s v="Delhi"/>
    <x v="3"/>
    <s v="Football"/>
    <n v="4"/>
    <n v="3850"/>
    <x v="0"/>
    <s v="Delivered"/>
    <n v="15400"/>
  </r>
  <r>
    <s v="ORD11041"/>
    <s v="CUST0345"/>
    <x v="80"/>
    <x v="0"/>
    <s v="Bengaluru"/>
    <x v="2"/>
    <s v="Sneakers"/>
    <n v="1"/>
    <n v="7350"/>
    <x v="3"/>
    <s v="Cancelled"/>
    <n v="7350"/>
  </r>
  <r>
    <s v="ORD11042"/>
    <s v="CUST0418"/>
    <x v="64"/>
    <x v="3"/>
    <s v="Pune"/>
    <x v="3"/>
    <s v="Running Shoes"/>
    <n v="1"/>
    <n v="1100"/>
    <x v="2"/>
    <s v="Delivered"/>
    <n v="1100"/>
  </r>
  <r>
    <s v="ORD11043"/>
    <s v="CUST0076"/>
    <x v="225"/>
    <x v="0"/>
    <s v="Hyderabad"/>
    <x v="3"/>
    <s v="Running Shoes"/>
    <n v="1"/>
    <n v="5300"/>
    <x v="4"/>
    <s v="Delivered"/>
    <n v="5300"/>
  </r>
  <r>
    <s v="ORD11044"/>
    <s v="CUST0282"/>
    <x v="312"/>
    <x v="3"/>
    <s v="Ahmedabad"/>
    <x v="0"/>
    <s v="Cookware Set"/>
    <n v="3"/>
    <n v="4900"/>
    <x v="1"/>
    <s v="Delivered"/>
    <n v="14700"/>
  </r>
  <r>
    <s v="ORD11045"/>
    <s v="CUST0147"/>
    <x v="54"/>
    <x v="0"/>
    <s v="Bengaluru"/>
    <x v="4"/>
    <s v="Shampoo"/>
    <n v="2"/>
    <n v="2500"/>
    <x v="3"/>
    <s v="Delivered"/>
    <n v="5000"/>
  </r>
  <r>
    <s v="ORD11046"/>
    <s v="CUST0279"/>
    <x v="246"/>
    <x v="3"/>
    <s v="Surat"/>
    <x v="3"/>
    <s v="Football"/>
    <n v="2"/>
    <n v="5250"/>
    <x v="0"/>
    <s v="Delivered"/>
    <n v="10500"/>
  </r>
  <r>
    <s v="ORD11047"/>
    <s v="CUST0040"/>
    <x v="135"/>
    <x v="1"/>
    <s v="Lucknow"/>
    <x v="3"/>
    <s v="Running Shoes"/>
    <n v="2"/>
    <n v="2150"/>
    <x v="1"/>
    <s v="Delivered"/>
    <n v="4300"/>
  </r>
  <r>
    <s v="ORD11048"/>
    <s v="CUST0173"/>
    <x v="272"/>
    <x v="0"/>
    <s v="Chennai"/>
    <x v="3"/>
    <s v="Yoga Mat"/>
    <n v="1"/>
    <n v="9650"/>
    <x v="0"/>
    <s v="Shipped"/>
    <n v="9650"/>
  </r>
  <r>
    <s v="ORD11049"/>
    <s v="CUST0166"/>
    <x v="136"/>
    <x v="0"/>
    <s v="Vijayawada"/>
    <x v="4"/>
    <s v="Hair Dryer"/>
    <n v="1"/>
    <n v="1550"/>
    <x v="0"/>
    <s v="Delivered"/>
    <n v="1550"/>
  </r>
  <r>
    <s v="ORD11050"/>
    <s v="CUST0379"/>
    <x v="209"/>
    <x v="3"/>
    <s v="Mumbai"/>
    <x v="3"/>
    <s v="Cricket Bat"/>
    <n v="1"/>
    <n v="2550"/>
    <x v="1"/>
    <s v="Delivered"/>
    <n v="2550"/>
  </r>
  <r>
    <s v="ORD11051"/>
    <s v="CUST0343"/>
    <x v="203"/>
    <x v="1"/>
    <s v="Delhi"/>
    <x v="2"/>
    <s v="Watch"/>
    <n v="2"/>
    <n v="6500"/>
    <x v="0"/>
    <s v="Delivered"/>
    <n v="13000"/>
  </r>
  <r>
    <s v="ORD11052"/>
    <s v="CUST0135"/>
    <x v="330"/>
    <x v="1"/>
    <s v="Delhi"/>
    <x v="2"/>
    <s v="T-Shirt"/>
    <n v="2"/>
    <n v="3650"/>
    <x v="0"/>
    <s v="Delivered"/>
    <n v="7300"/>
  </r>
  <r>
    <s v="ORD11053"/>
    <s v="CUST0172"/>
    <x v="15"/>
    <x v="3"/>
    <s v="Pune"/>
    <x v="4"/>
    <s v="Face Wash"/>
    <n v="1"/>
    <n v="2850"/>
    <x v="1"/>
    <s v="Delivered"/>
    <n v="2850"/>
  </r>
  <r>
    <s v="ORD11054"/>
    <s v="CUST0332"/>
    <x v="36"/>
    <x v="1"/>
    <s v="Delhi"/>
    <x v="4"/>
    <s v="Face Wash"/>
    <n v="1"/>
    <n v="1200"/>
    <x v="2"/>
    <s v="Delivered"/>
    <n v="1200"/>
  </r>
  <r>
    <s v="ORD11055"/>
    <s v="CUST0034"/>
    <x v="277"/>
    <x v="1"/>
    <s v="Chandigarh"/>
    <x v="4"/>
    <s v="Hair Dryer"/>
    <n v="2"/>
    <n v="4600"/>
    <x v="1"/>
    <s v="Delivered"/>
    <n v="9200"/>
  </r>
  <r>
    <s v="ORD11056"/>
    <s v="CUST0057"/>
    <x v="257"/>
    <x v="1"/>
    <s v="Delhi"/>
    <x v="0"/>
    <s v="Mixer Grinder"/>
    <n v="2"/>
    <n v="4600"/>
    <x v="0"/>
    <s v="Delivered"/>
    <n v="9200"/>
  </r>
  <r>
    <s v="ORD11057"/>
    <s v="CUST0051"/>
    <x v="24"/>
    <x v="0"/>
    <s v="Bengaluru"/>
    <x v="1"/>
    <s v="Headphones"/>
    <n v="3"/>
    <n v="7350"/>
    <x v="0"/>
    <s v="Delivered"/>
    <n v="22050"/>
  </r>
  <r>
    <s v="ORD11058"/>
    <s v="CUST0112"/>
    <x v="324"/>
    <x v="0"/>
    <s v="Bengaluru"/>
    <x v="1"/>
    <s v="Keyboard"/>
    <n v="2"/>
    <n v="56800"/>
    <x v="3"/>
    <s v="Delivered"/>
    <n v="113600"/>
  </r>
  <r>
    <s v="ORD11059"/>
    <s v="CUST0246"/>
    <x v="240"/>
    <x v="3"/>
    <s v="Pune"/>
    <x v="1"/>
    <s v="Keyboard"/>
    <n v="1"/>
    <n v="36750"/>
    <x v="2"/>
    <s v="Delivered"/>
    <n v="36750"/>
  </r>
  <r>
    <s v="ORD11060"/>
    <s v="CUST0265"/>
    <x v="197"/>
    <x v="0"/>
    <s v="Vijayawada"/>
    <x v="4"/>
    <s v="Perfume"/>
    <n v="1"/>
    <n v="850"/>
    <x v="2"/>
    <s v="Delivered"/>
    <n v="850"/>
  </r>
  <r>
    <s v="ORD11061"/>
    <s v="CUST0168"/>
    <x v="138"/>
    <x v="2"/>
    <s v="Bhubaneswar"/>
    <x v="0"/>
    <s v="Cookware Set"/>
    <n v="1"/>
    <n v="8350"/>
    <x v="0"/>
    <s v="Shipped"/>
    <n v="8350"/>
  </r>
  <r>
    <s v="ORD11062"/>
    <s v="CUST0192"/>
    <x v="331"/>
    <x v="2"/>
    <s v="Bhubaneswar"/>
    <x v="0"/>
    <s v="Table Lamp"/>
    <n v="1"/>
    <n v="6450"/>
    <x v="2"/>
    <s v="Cancelled"/>
    <n v="6450"/>
  </r>
  <r>
    <s v="ORD11063"/>
    <s v="CUST0165"/>
    <x v="27"/>
    <x v="0"/>
    <s v="Vijayawada"/>
    <x v="2"/>
    <s v="Jeans"/>
    <n v="1"/>
    <n v="650"/>
    <x v="3"/>
    <s v="Delivered"/>
    <n v="650"/>
  </r>
  <r>
    <s v="ORD11064"/>
    <s v="CUST0429"/>
    <x v="282"/>
    <x v="3"/>
    <s v="Ahmedabad"/>
    <x v="2"/>
    <s v="Jeans"/>
    <n v="4"/>
    <n v="750"/>
    <x v="1"/>
    <s v="Delivered"/>
    <n v="3000"/>
  </r>
  <r>
    <s v="ORD11065"/>
    <s v="CUST0128"/>
    <x v="32"/>
    <x v="3"/>
    <s v="Mumbai"/>
    <x v="4"/>
    <s v="Shampoo"/>
    <n v="5"/>
    <n v="2100"/>
    <x v="0"/>
    <s v="Delivered"/>
    <n v="10500"/>
  </r>
  <r>
    <s v="ORD11066"/>
    <s v="CUST0150"/>
    <x v="214"/>
    <x v="3"/>
    <s v="Ahmedabad"/>
    <x v="1"/>
    <s v="Smartphone"/>
    <n v="1"/>
    <n v="8400"/>
    <x v="3"/>
    <s v="Shipped"/>
    <n v="8400"/>
  </r>
  <r>
    <s v="ORD11067"/>
    <s v="CUST0065"/>
    <x v="320"/>
    <x v="0"/>
    <s v="Chennai"/>
    <x v="2"/>
    <s v="Backpack"/>
    <n v="1"/>
    <n v="5850"/>
    <x v="0"/>
    <s v="Delivered"/>
    <n v="5850"/>
  </r>
  <r>
    <s v="ORD11068"/>
    <s v="CUST0304"/>
    <x v="124"/>
    <x v="0"/>
    <s v="Bengaluru"/>
    <x v="1"/>
    <s v="Headphones"/>
    <n v="2"/>
    <n v="34650"/>
    <x v="2"/>
    <s v="Delivered"/>
    <n v="69300"/>
  </r>
  <r>
    <s v="ORD11069"/>
    <s v="CUST0429"/>
    <x v="38"/>
    <x v="3"/>
    <s v="Ahmedabad"/>
    <x v="2"/>
    <s v="Sneakers"/>
    <n v="3"/>
    <n v="6950"/>
    <x v="2"/>
    <s v="Delivered"/>
    <n v="20850"/>
  </r>
  <r>
    <s v="ORD11070"/>
    <s v="CUST0133"/>
    <x v="268"/>
    <x v="3"/>
    <s v="Surat"/>
    <x v="0"/>
    <s v="Table Lamp"/>
    <n v="2"/>
    <n v="5500"/>
    <x v="4"/>
    <s v="Delivered"/>
    <n v="11000"/>
  </r>
  <r>
    <s v="ORD11071"/>
    <s v="CUST0402"/>
    <x v="126"/>
    <x v="0"/>
    <s v="Vijayawada"/>
    <x v="2"/>
    <s v="Backpack"/>
    <n v="2"/>
    <n v="4600"/>
    <x v="0"/>
    <s v="Delivered"/>
    <n v="9200"/>
  </r>
  <r>
    <s v="ORD11072"/>
    <s v="CUST0361"/>
    <x v="341"/>
    <x v="3"/>
    <s v="Pune"/>
    <x v="0"/>
    <s v="Air Fryer"/>
    <n v="2"/>
    <n v="4750"/>
    <x v="2"/>
    <s v="Delivered"/>
    <n v="9500"/>
  </r>
  <r>
    <s v="ORD11073"/>
    <s v="CUST0331"/>
    <x v="299"/>
    <x v="3"/>
    <s v="Pune"/>
    <x v="0"/>
    <s v="Air Fryer"/>
    <n v="1"/>
    <n v="4600"/>
    <x v="2"/>
    <s v="Delivered"/>
    <n v="4600"/>
  </r>
  <r>
    <s v="ORD11074"/>
    <s v="CUST0040"/>
    <x v="155"/>
    <x v="0"/>
    <s v="Vijayawada"/>
    <x v="3"/>
    <s v="Dumbbells"/>
    <n v="4"/>
    <n v="4300"/>
    <x v="1"/>
    <s v="Delivered"/>
    <n v="17200"/>
  </r>
  <r>
    <s v="ORD11075"/>
    <s v="CUST0389"/>
    <x v="313"/>
    <x v="0"/>
    <s v="Chennai"/>
    <x v="3"/>
    <s v="Dumbbells"/>
    <n v="1"/>
    <n v="2150"/>
    <x v="0"/>
    <s v="Delivered"/>
    <n v="2150"/>
  </r>
  <r>
    <s v="ORD11076"/>
    <m/>
    <x v="69"/>
    <x v="3"/>
    <s v="Surat"/>
    <x v="1"/>
    <s v="Monitor"/>
    <n v="1"/>
    <n v="13550"/>
    <x v="1"/>
    <s v="Delivered"/>
    <n v="13550"/>
  </r>
  <r>
    <s v="ORD11077"/>
    <s v="CUST0425"/>
    <x v="218"/>
    <x v="0"/>
    <s v="Hyderabad"/>
    <x v="0"/>
    <s v="Mixer Grinder"/>
    <n v="1"/>
    <n v="6150"/>
    <x v="4"/>
    <s v="Delivered"/>
    <n v="6150"/>
  </r>
  <r>
    <s v="ORD11078"/>
    <s v="CUST0318"/>
    <x v="342"/>
    <x v="0"/>
    <s v="Vijayawada"/>
    <x v="3"/>
    <s v="Running Shoes"/>
    <n v="2"/>
    <n v="8500"/>
    <x v="0"/>
    <s v="Shipped"/>
    <n v="17000"/>
  </r>
  <r>
    <s v="ORD11079"/>
    <s v="CUST0110"/>
    <x v="70"/>
    <x v="1"/>
    <s v="Lucknow"/>
    <x v="2"/>
    <s v="T-Shirt"/>
    <n v="2"/>
    <n v="3750"/>
    <x v="2"/>
    <s v="Cancelled"/>
    <n v="7500"/>
  </r>
  <r>
    <s v="ORD11080"/>
    <s v="CUST0288"/>
    <x v="180"/>
    <x v="0"/>
    <s v="Bengaluru"/>
    <x v="2"/>
    <s v="Sneakers"/>
    <n v="4"/>
    <n v="7300"/>
    <x v="0"/>
    <s v="Delivered"/>
    <n v="29200"/>
  </r>
  <r>
    <s v="ORD11081"/>
    <s v="CUST0205"/>
    <x v="101"/>
    <x v="2"/>
    <s v="Guwahati"/>
    <x v="0"/>
    <s v="Water Bottle"/>
    <n v="2"/>
    <n v="7150"/>
    <x v="2"/>
    <s v="Delivered"/>
    <n v="14300"/>
  </r>
  <r>
    <s v="ORD11082"/>
    <s v="CUST0259"/>
    <x v="69"/>
    <x v="2"/>
    <s v="Guwahati"/>
    <x v="3"/>
    <s v="Football"/>
    <n v="1"/>
    <n v="5450"/>
    <x v="0"/>
    <s v="Delivered"/>
    <n v="5450"/>
  </r>
  <r>
    <s v="ORD11083"/>
    <s v="CUST0236"/>
    <x v="54"/>
    <x v="3"/>
    <s v="Ahmedabad"/>
    <x v="4"/>
    <s v="Moisturizer"/>
    <n v="2"/>
    <n v="950"/>
    <x v="0"/>
    <s v="Delivered"/>
    <n v="1900"/>
  </r>
  <r>
    <s v="ORD11084"/>
    <s v="CUST0277"/>
    <x v="152"/>
    <x v="1"/>
    <s v="Chandigarh"/>
    <x v="1"/>
    <s v="Monitor"/>
    <n v="4"/>
    <n v="32350"/>
    <x v="2"/>
    <s v="Delivered"/>
    <n v="129400"/>
  </r>
  <r>
    <s v="ORD11085"/>
    <s v="CUST0038"/>
    <x v="257"/>
    <x v="3"/>
    <s v="Ahmedabad"/>
    <x v="0"/>
    <s v="Cookware Set"/>
    <n v="1"/>
    <n v="7900"/>
    <x v="3"/>
    <s v="Delivered"/>
    <n v="7900"/>
  </r>
  <r>
    <s v="ORD11086"/>
    <s v="CUST0211"/>
    <x v="95"/>
    <x v="1"/>
    <s v="Lucknow"/>
    <x v="3"/>
    <s v="Running Shoes"/>
    <n v="1"/>
    <n v="4650"/>
    <x v="0"/>
    <s v="Delivered"/>
    <n v="4650"/>
  </r>
  <r>
    <s v="ORD11087"/>
    <s v="CUST0334"/>
    <x v="223"/>
    <x v="0"/>
    <s v="Bengaluru"/>
    <x v="2"/>
    <s v="Watch"/>
    <n v="2"/>
    <n v="2050"/>
    <x v="1"/>
    <s v="Delivered"/>
    <n v="4100"/>
  </r>
  <r>
    <s v="ORD11088"/>
    <s v="CUST0357"/>
    <x v="54"/>
    <x v="0"/>
    <s v="Vijayawada"/>
    <x v="4"/>
    <s v="Perfume"/>
    <n v="5"/>
    <n v="1550"/>
    <x v="3"/>
    <s v="Delivered"/>
    <n v="7750"/>
  </r>
  <r>
    <s v="ORD11089"/>
    <s v="CUST0237"/>
    <x v="163"/>
    <x v="2"/>
    <s v="Kolkata"/>
    <x v="4"/>
    <s v="Shampoo"/>
    <n v="3"/>
    <n v="3150"/>
    <x v="2"/>
    <s v="Delivered"/>
    <n v="9450"/>
  </r>
  <r>
    <s v="ORD11090"/>
    <s v="CUST0417"/>
    <x v="263"/>
    <x v="1"/>
    <s v="Lucknow"/>
    <x v="0"/>
    <s v="Mixer Grinder"/>
    <n v="2"/>
    <n v="6100"/>
    <x v="0"/>
    <s v="Delivered"/>
    <n v="12200"/>
  </r>
  <r>
    <s v="ORD11091"/>
    <s v="CUST0278"/>
    <x v="104"/>
    <x v="2"/>
    <s v="Guwahati"/>
    <x v="4"/>
    <s v="Hair Dryer"/>
    <n v="1"/>
    <n v="500"/>
    <x v="1"/>
    <s v="Delivered"/>
    <n v="500"/>
  </r>
  <r>
    <s v="ORD11092"/>
    <s v="CUST0235"/>
    <x v="274"/>
    <x v="0"/>
    <s v="Bengaluru"/>
    <x v="0"/>
    <s v="Cookware Set"/>
    <n v="2"/>
    <n v="6500"/>
    <x v="3"/>
    <s v="Delivered"/>
    <n v="13000"/>
  </r>
  <r>
    <s v="ORD11093"/>
    <s v="CUST0219"/>
    <x v="75"/>
    <x v="0"/>
    <s v="Vijayawada"/>
    <x v="0"/>
    <s v="Water Bottle"/>
    <n v="3"/>
    <n v="2100"/>
    <x v="1"/>
    <s v="Delivered"/>
    <n v="6300"/>
  </r>
  <r>
    <s v="ORD11094"/>
    <s v="CUST0347"/>
    <x v="121"/>
    <x v="0"/>
    <s v="Bengaluru"/>
    <x v="3"/>
    <s v="Football"/>
    <n v="1"/>
    <n v="9100"/>
    <x v="2"/>
    <s v="Cancelled"/>
    <n v="9100"/>
  </r>
  <r>
    <s v="ORD11095"/>
    <s v="CUST0056"/>
    <x v="3"/>
    <x v="0"/>
    <s v="Vijayawada"/>
    <x v="1"/>
    <s v="Headphones"/>
    <n v="2"/>
    <n v="11900"/>
    <x v="1"/>
    <s v="Delivered"/>
    <n v="23800"/>
  </r>
  <r>
    <s v="ORD11096"/>
    <s v="CUST0051"/>
    <x v="5"/>
    <x v="0"/>
    <s v="Chennai"/>
    <x v="0"/>
    <s v="Water Bottle"/>
    <n v="3"/>
    <n v="5550"/>
    <x v="0"/>
    <s v="Delivered"/>
    <n v="16650"/>
  </r>
  <r>
    <s v="ORD11097"/>
    <s v="CUST0433"/>
    <x v="142"/>
    <x v="0"/>
    <s v="Hyderabad"/>
    <x v="1"/>
    <s v="Laptop"/>
    <n v="3"/>
    <n v="51400"/>
    <x v="0"/>
    <s v="Shipped"/>
    <n v="154200"/>
  </r>
  <r>
    <s v="ORD11098"/>
    <s v="CUST0398"/>
    <x v="96"/>
    <x v="1"/>
    <s v="Delhi"/>
    <x v="2"/>
    <s v="Sneakers"/>
    <n v="1"/>
    <n v="1850"/>
    <x v="2"/>
    <s v="Delivered"/>
    <n v="1850"/>
  </r>
  <r>
    <s v="ORD11099"/>
    <s v="CUST0396"/>
    <x v="161"/>
    <x v="3"/>
    <s v="Surat"/>
    <x v="4"/>
    <s v="Perfume"/>
    <n v="1"/>
    <n v="4350"/>
    <x v="1"/>
    <s v="Delivered"/>
    <n v="4350"/>
  </r>
  <r>
    <s v="ORD11100"/>
    <s v="CUST0199"/>
    <x v="343"/>
    <x v="2"/>
    <s v="Guwahati"/>
    <x v="2"/>
    <s v="Sneakers"/>
    <n v="1"/>
    <n v="600"/>
    <x v="4"/>
    <s v="Delivered"/>
    <n v="600"/>
  </r>
  <r>
    <s v="ORD11101"/>
    <s v="CUST0091"/>
    <x v="230"/>
    <x v="3"/>
    <s v="Pune"/>
    <x v="3"/>
    <s v="Football"/>
    <n v="4"/>
    <n v="5700"/>
    <x v="4"/>
    <s v="Delivered"/>
    <n v="22800"/>
  </r>
  <r>
    <s v="ORD11102"/>
    <s v="CUST0091"/>
    <x v="19"/>
    <x v="3"/>
    <s v="Pune"/>
    <x v="0"/>
    <s v="Mixer Grinder"/>
    <n v="2"/>
    <n v="4300"/>
    <x v="0"/>
    <s v="Delivered"/>
    <n v="8600"/>
  </r>
  <r>
    <s v="ORD11103"/>
    <s v="CUST0230"/>
    <x v="133"/>
    <x v="0"/>
    <s v="Hyderabad"/>
    <x v="2"/>
    <s v="T-Shirt"/>
    <n v="1"/>
    <n v="3500"/>
    <x v="2"/>
    <s v="Delivered"/>
    <n v="3500"/>
  </r>
  <r>
    <s v="ORD11104"/>
    <s v="CUST0094"/>
    <x v="210"/>
    <x v="3"/>
    <s v="Pune"/>
    <x v="4"/>
    <s v="Perfume"/>
    <n v="3"/>
    <n v="1650"/>
    <x v="1"/>
    <s v="Delivered"/>
    <n v="4950"/>
  </r>
  <r>
    <s v="ORD11105"/>
    <s v="CUST0059"/>
    <x v="175"/>
    <x v="0"/>
    <s v="Bengaluru"/>
    <x v="3"/>
    <s v="Dumbbells"/>
    <n v="1"/>
    <n v="6050"/>
    <x v="4"/>
    <s v="Delivered"/>
    <n v="6050"/>
  </r>
  <r>
    <s v="ORD11106"/>
    <s v="CUST0209"/>
    <x v="27"/>
    <x v="0"/>
    <s v="Hyderabad"/>
    <x v="3"/>
    <s v="Cricket Bat"/>
    <n v="1"/>
    <n v="8300"/>
    <x v="1"/>
    <s v="Delivered"/>
    <n v="8300"/>
  </r>
  <r>
    <s v="ORD11107"/>
    <s v="CUST0382"/>
    <x v="265"/>
    <x v="0"/>
    <s v="Vijayawada"/>
    <x v="4"/>
    <s v="Perfume"/>
    <n v="1"/>
    <n v="2400"/>
    <x v="1"/>
    <s v="Delivered"/>
    <n v="2400"/>
  </r>
  <r>
    <s v="ORD11108"/>
    <s v="CUST0214"/>
    <x v="30"/>
    <x v="2"/>
    <s v="Bhubaneswar"/>
    <x v="1"/>
    <s v="Keyboard"/>
    <n v="1"/>
    <n v="9350"/>
    <x v="1"/>
    <s v="Cancelled"/>
    <n v="9350"/>
  </r>
  <r>
    <s v="ORD11109"/>
    <s v="CUST0234"/>
    <x v="263"/>
    <x v="0"/>
    <s v="Bengaluru"/>
    <x v="0"/>
    <s v="Cookware Set"/>
    <n v="3"/>
    <n v="3600"/>
    <x v="1"/>
    <s v="Delivered"/>
    <n v="10800"/>
  </r>
  <r>
    <s v="ORD11110"/>
    <s v="CUST0023"/>
    <x v="269"/>
    <x v="1"/>
    <s v="Delhi"/>
    <x v="4"/>
    <s v="Perfume"/>
    <n v="4"/>
    <n v="4800"/>
    <x v="3"/>
    <s v="Delivered"/>
    <n v="19200"/>
  </r>
  <r>
    <s v="ORD11111"/>
    <s v="CUST0338"/>
    <x v="311"/>
    <x v="0"/>
    <s v="Bengaluru"/>
    <x v="0"/>
    <s v="Mixer Grinder"/>
    <n v="2"/>
    <n v="5450"/>
    <x v="2"/>
    <s v="Delivered"/>
    <n v="10900"/>
  </r>
  <r>
    <s v="ORD11112"/>
    <s v="CUST0238"/>
    <x v="106"/>
    <x v="0"/>
    <s v="Bengaluru"/>
    <x v="2"/>
    <s v="Sneakers"/>
    <n v="2"/>
    <n v="450"/>
    <x v="0"/>
    <s v="Delivered"/>
    <n v="900"/>
  </r>
  <r>
    <s v="ORD11113"/>
    <s v="CUST0254"/>
    <x v="344"/>
    <x v="0"/>
    <s v="Chennai"/>
    <x v="0"/>
    <s v="Table Lamp"/>
    <n v="2"/>
    <n v="2850"/>
    <x v="0"/>
    <s v="Shipped"/>
    <n v="5700"/>
  </r>
  <r>
    <s v="ORD11114"/>
    <s v="CUST0209"/>
    <x v="259"/>
    <x v="2"/>
    <s v="Kolkata"/>
    <x v="1"/>
    <s v="Monitor"/>
    <n v="1"/>
    <n v="40300"/>
    <x v="4"/>
    <s v="Returned"/>
    <n v="40300"/>
  </r>
  <r>
    <s v="ORD11115"/>
    <s v="CUST0383"/>
    <x v="345"/>
    <x v="0"/>
    <s v="Chennai"/>
    <x v="3"/>
    <s v="Cricket Bat"/>
    <n v="2"/>
    <n v="2000"/>
    <x v="2"/>
    <s v="Delivered"/>
    <n v="4000"/>
  </r>
  <r>
    <s v="ORD11116"/>
    <s v="CUST0428"/>
    <x v="172"/>
    <x v="0"/>
    <s v="Hyderabad"/>
    <x v="2"/>
    <s v="Sneakers"/>
    <n v="2"/>
    <n v="5850"/>
    <x v="2"/>
    <s v="Delivered"/>
    <n v="11700"/>
  </r>
  <r>
    <s v="ORD11117"/>
    <s v="CUST0057"/>
    <x v="211"/>
    <x v="0"/>
    <s v="Bengaluru"/>
    <x v="3"/>
    <s v="Football"/>
    <n v="3"/>
    <n v="4900"/>
    <x v="0"/>
    <s v="Returned"/>
    <n v="14700"/>
  </r>
  <r>
    <s v="ORD11118"/>
    <s v="CUST0265"/>
    <x v="25"/>
    <x v="0"/>
    <s v="Chennai"/>
    <x v="1"/>
    <s v="Keyboard"/>
    <n v="1"/>
    <n v="15200"/>
    <x v="1"/>
    <s v="Delivered"/>
    <n v="15200"/>
  </r>
  <r>
    <s v="ORD11119"/>
    <s v="CUST0215"/>
    <x v="35"/>
    <x v="0"/>
    <s v="Chennai"/>
    <x v="2"/>
    <s v="Sneakers"/>
    <n v="1"/>
    <n v="3050"/>
    <x v="0"/>
    <s v="Delivered"/>
    <n v="3050"/>
  </r>
  <r>
    <s v="ORD11120"/>
    <s v="CUST0005"/>
    <x v="196"/>
    <x v="2"/>
    <s v="Patna"/>
    <x v="0"/>
    <s v="Cookware Set"/>
    <n v="1"/>
    <n v="6400"/>
    <x v="0"/>
    <s v="Cancelled"/>
    <n v="6400"/>
  </r>
  <r>
    <s v="ORD11121"/>
    <s v="CUST0268"/>
    <x v="164"/>
    <x v="1"/>
    <s v="Delhi"/>
    <x v="2"/>
    <s v="Backpack"/>
    <n v="3"/>
    <n v="6400"/>
    <x v="3"/>
    <s v="Delivered"/>
    <n v="19200"/>
  </r>
  <r>
    <s v="ORD11122"/>
    <s v="CUST0385"/>
    <x v="95"/>
    <x v="0"/>
    <s v="Hyderabad"/>
    <x v="2"/>
    <s v="Sneakers"/>
    <n v="3"/>
    <n v="3750"/>
    <x v="2"/>
    <s v="Delivered"/>
    <n v="11250"/>
  </r>
  <r>
    <s v="ORD11123"/>
    <s v="CUST0227"/>
    <x v="309"/>
    <x v="0"/>
    <s v="Vijayawada"/>
    <x v="1"/>
    <s v="Laptop"/>
    <n v="2"/>
    <n v="23350"/>
    <x v="0"/>
    <s v="Delivered"/>
    <n v="46700"/>
  </r>
  <r>
    <s v="ORD11124"/>
    <s v="CUST0068"/>
    <x v="222"/>
    <x v="0"/>
    <s v="Hyderabad"/>
    <x v="3"/>
    <s v="Football"/>
    <n v="1"/>
    <n v="1950"/>
    <x v="0"/>
    <s v="Delivered"/>
    <n v="1950"/>
  </r>
  <r>
    <s v="ORD11125"/>
    <s v="CUST0286"/>
    <x v="164"/>
    <x v="1"/>
    <s v="Chandigarh"/>
    <x v="4"/>
    <s v="Hair Dryer"/>
    <n v="2"/>
    <n v="1300"/>
    <x v="1"/>
    <s v="Delivered"/>
    <n v="2600"/>
  </r>
  <r>
    <s v="ORD11126"/>
    <s v="CUST0425"/>
    <x v="339"/>
    <x v="1"/>
    <s v="Delhi"/>
    <x v="0"/>
    <s v="Water Bottle"/>
    <n v="3"/>
    <n v="4800"/>
    <x v="0"/>
    <s v="Delivered"/>
    <n v="14400"/>
  </r>
  <r>
    <s v="ORD11127"/>
    <s v="CUST0107"/>
    <x v="293"/>
    <x v="0"/>
    <s v="Chennai"/>
    <x v="4"/>
    <s v="Moisturizer"/>
    <n v="2"/>
    <n v="3750"/>
    <x v="0"/>
    <s v="Cancelled"/>
    <n v="7500"/>
  </r>
  <r>
    <s v="ORD11128"/>
    <s v="CUST0431"/>
    <x v="334"/>
    <x v="3"/>
    <s v="Pune"/>
    <x v="3"/>
    <s v="Yoga Mat"/>
    <n v="2"/>
    <n v="9400"/>
    <x v="0"/>
    <s v="Delivered"/>
    <n v="18800"/>
  </r>
  <r>
    <s v="ORD11129"/>
    <s v="CUST0173"/>
    <x v="346"/>
    <x v="1"/>
    <s v="Chandigarh"/>
    <x v="0"/>
    <s v="Table Lamp"/>
    <n v="2"/>
    <n v="3150"/>
    <x v="3"/>
    <s v="Delivered"/>
    <n v="6300"/>
  </r>
  <r>
    <s v="ORD11130"/>
    <s v="CUST0426"/>
    <x v="184"/>
    <x v="0"/>
    <s v="Chennai"/>
    <x v="3"/>
    <s v="Cricket Bat"/>
    <n v="1"/>
    <n v="9200"/>
    <x v="3"/>
    <s v="Cancelled"/>
    <n v="9200"/>
  </r>
  <r>
    <s v="ORD11131"/>
    <s v="CUST0369"/>
    <x v="165"/>
    <x v="3"/>
    <s v="Pune"/>
    <x v="4"/>
    <s v="Face Wash"/>
    <n v="1"/>
    <n v="850"/>
    <x v="1"/>
    <s v="Shipped"/>
    <n v="850"/>
  </r>
  <r>
    <s v="ORD11132"/>
    <s v="CUST0218"/>
    <x v="2"/>
    <x v="1"/>
    <s v="Delhi"/>
    <x v="2"/>
    <s v="Watch"/>
    <n v="1"/>
    <n v="1650"/>
    <x v="0"/>
    <s v="Delivered"/>
    <n v="1650"/>
  </r>
  <r>
    <s v="ORD11133"/>
    <s v="CUST0233"/>
    <x v="279"/>
    <x v="2"/>
    <s v="Patna"/>
    <x v="3"/>
    <s v="Running Shoes"/>
    <n v="2"/>
    <n v="8250"/>
    <x v="0"/>
    <s v="Delivered"/>
    <n v="16500"/>
  </r>
  <r>
    <s v="ORD11134"/>
    <s v="CUST0083"/>
    <x v="218"/>
    <x v="0"/>
    <s v="Chennai"/>
    <x v="0"/>
    <s v="Air Fryer"/>
    <n v="1"/>
    <n v="5300"/>
    <x v="2"/>
    <s v="Delivered"/>
    <n v="5300"/>
  </r>
  <r>
    <s v="ORD11135"/>
    <s v="CUST0279"/>
    <x v="207"/>
    <x v="1"/>
    <s v="Jaipur"/>
    <x v="2"/>
    <s v="Watch"/>
    <n v="1"/>
    <n v="7600"/>
    <x v="2"/>
    <s v="Delivered"/>
    <n v="7600"/>
  </r>
  <r>
    <s v="ORD11136"/>
    <s v="CUST0090"/>
    <x v="283"/>
    <x v="0"/>
    <s v="Chennai"/>
    <x v="1"/>
    <s v="Keyboard"/>
    <n v="1"/>
    <n v="29650"/>
    <x v="0"/>
    <s v="Delivered"/>
    <n v="29650"/>
  </r>
  <r>
    <s v="ORD11137"/>
    <s v="CUST0307"/>
    <x v="200"/>
    <x v="1"/>
    <s v="Jaipur"/>
    <x v="1"/>
    <s v="Monitor"/>
    <n v="1"/>
    <n v="50050"/>
    <x v="3"/>
    <s v="Delivered"/>
    <n v="50050"/>
  </r>
  <r>
    <s v="ORD11138"/>
    <s v="CUST0046"/>
    <x v="129"/>
    <x v="0"/>
    <s v="Vijayawada"/>
    <x v="0"/>
    <s v="Mixer Grinder"/>
    <n v="3"/>
    <n v="6500"/>
    <x v="0"/>
    <s v="Delivered"/>
    <n v="19500"/>
  </r>
  <r>
    <s v="ORD11139"/>
    <s v="CUST0397"/>
    <x v="184"/>
    <x v="1"/>
    <s v="Jaipur"/>
    <x v="0"/>
    <s v="Air Fryer"/>
    <n v="3"/>
    <n v="1900"/>
    <x v="0"/>
    <s v="Delivered"/>
    <n v="5700"/>
  </r>
  <r>
    <s v="ORD11140"/>
    <s v="CUST0050"/>
    <x v="113"/>
    <x v="3"/>
    <s v="Ahmedabad"/>
    <x v="0"/>
    <s v="Table Lamp"/>
    <n v="2"/>
    <n v="1750"/>
    <x v="1"/>
    <s v="Delivered"/>
    <n v="3500"/>
  </r>
  <r>
    <s v="ORD11141"/>
    <s v="CUST0075"/>
    <x v="69"/>
    <x v="2"/>
    <s v="Guwahati"/>
    <x v="1"/>
    <s v="Headphones"/>
    <n v="2"/>
    <n v="36350"/>
    <x v="0"/>
    <s v="Delivered"/>
    <n v="72700"/>
  </r>
  <r>
    <s v="ORD11142"/>
    <s v="CUST0255"/>
    <x v="185"/>
    <x v="3"/>
    <s v="Pune"/>
    <x v="3"/>
    <s v="Dumbbells"/>
    <n v="2"/>
    <n v="7400"/>
    <x v="1"/>
    <s v="Delivered"/>
    <n v="14800"/>
  </r>
  <r>
    <s v="ORD11143"/>
    <s v="CUST0383"/>
    <x v="212"/>
    <x v="2"/>
    <s v="Kolkata"/>
    <x v="0"/>
    <s v="Cookware Set"/>
    <n v="2"/>
    <n v="7550"/>
    <x v="0"/>
    <s v="Delivered"/>
    <n v="15100"/>
  </r>
  <r>
    <s v="ORD11144"/>
    <s v="CUST0318"/>
    <x v="10"/>
    <x v="0"/>
    <s v="Vijayawada"/>
    <x v="3"/>
    <s v="Running Shoes"/>
    <n v="3"/>
    <n v="3750"/>
    <x v="2"/>
    <s v="Returned"/>
    <n v="11250"/>
  </r>
  <r>
    <s v="ORD11145"/>
    <s v="CUST0331"/>
    <x v="194"/>
    <x v="1"/>
    <s v="Delhi"/>
    <x v="1"/>
    <s v="Laptop"/>
    <n v="2"/>
    <n v="800"/>
    <x v="1"/>
    <s v="Delivered"/>
    <n v="1600"/>
  </r>
  <r>
    <s v="ORD11146"/>
    <s v="CUST0120"/>
    <x v="236"/>
    <x v="2"/>
    <s v="Patna"/>
    <x v="3"/>
    <s v="Dumbbells"/>
    <n v="3"/>
    <n v="5050"/>
    <x v="0"/>
    <s v="Delivered"/>
    <n v="15150"/>
  </r>
  <r>
    <s v="ORD11147"/>
    <s v="CUST0393"/>
    <x v="1"/>
    <x v="1"/>
    <s v="Lucknow"/>
    <x v="2"/>
    <s v="Jeans"/>
    <n v="1"/>
    <n v="650"/>
    <x v="0"/>
    <s v="Cancelled"/>
    <n v="650"/>
  </r>
  <r>
    <s v="ORD11148"/>
    <s v="CUST0137"/>
    <x v="265"/>
    <x v="1"/>
    <s v="Chandigarh"/>
    <x v="0"/>
    <s v="Mixer Grinder"/>
    <n v="2"/>
    <n v="6000"/>
    <x v="0"/>
    <s v="Delivered"/>
    <n v="12000"/>
  </r>
  <r>
    <s v="ORD11149"/>
    <s v="CUST0063"/>
    <x v="144"/>
    <x v="0"/>
    <s v="Hyderabad"/>
    <x v="2"/>
    <s v="Jeans"/>
    <n v="2"/>
    <n v="4300"/>
    <x v="4"/>
    <s v="Delivered"/>
    <n v="8600"/>
  </r>
  <r>
    <s v="ORD11150"/>
    <s v="CUST0135"/>
    <x v="292"/>
    <x v="0"/>
    <s v="Vijayawada"/>
    <x v="1"/>
    <s v="Laptop"/>
    <n v="1"/>
    <n v="30700"/>
    <x v="2"/>
    <s v="Delivered"/>
    <n v="30700"/>
  </r>
  <r>
    <s v="ORD11151"/>
    <s v="CUST0165"/>
    <x v="347"/>
    <x v="1"/>
    <s v="Chandigarh"/>
    <x v="2"/>
    <s v="Jeans"/>
    <n v="1"/>
    <n v="5450"/>
    <x v="0"/>
    <s v="Delivered"/>
    <n v="5450"/>
  </r>
  <r>
    <s v="ORD11152"/>
    <s v="CUST0246"/>
    <x v="288"/>
    <x v="1"/>
    <s v="Chandigarh"/>
    <x v="4"/>
    <s v="Face Wash"/>
    <n v="2"/>
    <n v="1500"/>
    <x v="1"/>
    <s v="Shipped"/>
    <n v="3000"/>
  </r>
  <r>
    <s v="ORD11153"/>
    <s v="CUST0079"/>
    <x v="278"/>
    <x v="3"/>
    <s v="Pune"/>
    <x v="3"/>
    <s v="Dumbbells"/>
    <n v="1"/>
    <n v="5950"/>
    <x v="2"/>
    <s v="Delivered"/>
    <n v="5950"/>
  </r>
  <r>
    <s v="ORD11154"/>
    <s v="CUST0320"/>
    <x v="249"/>
    <x v="2"/>
    <s v="Kolkata"/>
    <x v="4"/>
    <s v="Hair Dryer"/>
    <n v="1"/>
    <n v="450"/>
    <x v="1"/>
    <s v="Delivered"/>
    <n v="450"/>
  </r>
  <r>
    <s v="ORD11155"/>
    <s v="CUST0128"/>
    <x v="162"/>
    <x v="1"/>
    <s v="Jaipur"/>
    <x v="3"/>
    <s v="Cricket Bat"/>
    <n v="1"/>
    <n v="7250"/>
    <x v="2"/>
    <s v="Shipped"/>
    <n v="7250"/>
  </r>
  <r>
    <s v="ORD11156"/>
    <s v="CUST0422"/>
    <x v="164"/>
    <x v="0"/>
    <s v="Hyderabad"/>
    <x v="2"/>
    <s v="Jeans"/>
    <n v="1"/>
    <n v="7800"/>
    <x v="2"/>
    <s v="Shipped"/>
    <n v="7800"/>
  </r>
  <r>
    <s v="ORD11157"/>
    <s v="CUST0382"/>
    <x v="278"/>
    <x v="0"/>
    <s v="Hyderabad"/>
    <x v="1"/>
    <s v="Headphones"/>
    <n v="2"/>
    <n v="55300"/>
    <x v="4"/>
    <s v="Shipped"/>
    <n v="110600"/>
  </r>
  <r>
    <s v="ORD11158"/>
    <s v="CUST0422"/>
    <x v="79"/>
    <x v="0"/>
    <s v="Hyderabad"/>
    <x v="1"/>
    <s v="Headphones"/>
    <n v="3"/>
    <n v="19250"/>
    <x v="0"/>
    <s v="Delivered"/>
    <n v="57750"/>
  </r>
  <r>
    <s v="ORD11159"/>
    <s v="CUST0104"/>
    <x v="63"/>
    <x v="0"/>
    <s v="Hyderabad"/>
    <x v="1"/>
    <s v="Keyboard"/>
    <n v="3"/>
    <n v="27600"/>
    <x v="1"/>
    <s v="Delivered"/>
    <n v="82800"/>
  </r>
  <r>
    <s v="ORD11160"/>
    <s v="CUST0087"/>
    <x v="25"/>
    <x v="0"/>
    <s v="Chennai"/>
    <x v="2"/>
    <s v="Watch"/>
    <n v="3"/>
    <n v="5500"/>
    <x v="3"/>
    <s v="Delivered"/>
    <n v="16500"/>
  </r>
  <r>
    <s v="ORD11161"/>
    <s v="CUST0028"/>
    <x v="195"/>
    <x v="3"/>
    <s v="Pune"/>
    <x v="4"/>
    <s v="Shampoo"/>
    <n v="1"/>
    <n v="3700"/>
    <x v="1"/>
    <s v="Delivered"/>
    <n v="3700"/>
  </r>
  <r>
    <s v="ORD11162"/>
    <s v="CUST0250"/>
    <x v="284"/>
    <x v="1"/>
    <s v="Jaipur"/>
    <x v="1"/>
    <s v="Keyboard"/>
    <n v="2"/>
    <n v="10250"/>
    <x v="3"/>
    <s v="Delivered"/>
    <n v="20500"/>
  </r>
  <r>
    <s v="ORD11163"/>
    <s v="CUST0078"/>
    <x v="348"/>
    <x v="0"/>
    <s v="Chennai"/>
    <x v="1"/>
    <s v="Keyboard"/>
    <n v="1"/>
    <n v="59100"/>
    <x v="1"/>
    <s v="Delivered"/>
    <n v="59100"/>
  </r>
  <r>
    <s v="ORD11164"/>
    <s v="CUST0441"/>
    <x v="309"/>
    <x v="0"/>
    <s v="Bengaluru"/>
    <x v="3"/>
    <s v="Running Shoes"/>
    <n v="2"/>
    <n v="3400"/>
    <x v="0"/>
    <s v="Delivered"/>
    <n v="6800"/>
  </r>
  <r>
    <s v="ORD11165"/>
    <s v="CUST0128"/>
    <x v="267"/>
    <x v="3"/>
    <s v="Mumbai"/>
    <x v="1"/>
    <s v="Keyboard"/>
    <n v="3"/>
    <n v="54400"/>
    <x v="3"/>
    <s v="Delivered"/>
    <n v="163200"/>
  </r>
  <r>
    <s v="ORD11166"/>
    <s v="CUST0288"/>
    <x v="18"/>
    <x v="1"/>
    <s v="Delhi"/>
    <x v="1"/>
    <s v="Smartphone"/>
    <n v="3"/>
    <n v="6000"/>
    <x v="1"/>
    <s v="Delivered"/>
    <n v="18000"/>
  </r>
  <r>
    <s v="ORD11167"/>
    <s v="CUST0094"/>
    <x v="272"/>
    <x v="0"/>
    <s v="Hyderabad"/>
    <x v="2"/>
    <s v="Backpack"/>
    <n v="4"/>
    <n v="1400"/>
    <x v="2"/>
    <s v="Delivered"/>
    <n v="5600"/>
  </r>
  <r>
    <s v="ORD11168"/>
    <s v="CUST0308"/>
    <x v="128"/>
    <x v="3"/>
    <s v="Surat"/>
    <x v="0"/>
    <s v="Cookware Set"/>
    <n v="2"/>
    <n v="3300"/>
    <x v="1"/>
    <s v="Delivered"/>
    <n v="6600"/>
  </r>
  <r>
    <s v="ORD11169"/>
    <s v="CUST0450"/>
    <x v="332"/>
    <x v="3"/>
    <s v="Pune"/>
    <x v="2"/>
    <s v="T-Shirt"/>
    <n v="2"/>
    <n v="4600"/>
    <x v="2"/>
    <s v="Delivered"/>
    <n v="9200"/>
  </r>
  <r>
    <s v="ORD11170"/>
    <s v="CUST0354"/>
    <x v="4"/>
    <x v="0"/>
    <s v="Chennai"/>
    <x v="0"/>
    <s v="Air Fryer"/>
    <n v="4"/>
    <n v="7550"/>
    <x v="1"/>
    <s v="Shipped"/>
    <n v="30200"/>
  </r>
  <r>
    <s v="ORD11171"/>
    <s v="CUST0163"/>
    <x v="2"/>
    <x v="0"/>
    <s v="Vijayawada"/>
    <x v="0"/>
    <s v="Water Bottle"/>
    <n v="1"/>
    <n v="6050"/>
    <x v="4"/>
    <s v="Delivered"/>
    <n v="6050"/>
  </r>
  <r>
    <s v="ORD11172"/>
    <s v="CUST0408"/>
    <x v="273"/>
    <x v="3"/>
    <s v="Mumbai"/>
    <x v="0"/>
    <s v="Mixer Grinder"/>
    <n v="3"/>
    <n v="4350"/>
    <x v="0"/>
    <s v="Shipped"/>
    <n v="13050"/>
  </r>
  <r>
    <s v="ORD11173"/>
    <s v="CUST0083"/>
    <x v="170"/>
    <x v="0"/>
    <s v="Chennai"/>
    <x v="0"/>
    <s v="Table Lamp"/>
    <n v="1"/>
    <n v="6750"/>
    <x v="3"/>
    <s v="Delivered"/>
    <n v="6750"/>
  </r>
  <r>
    <s v="ORD11174"/>
    <s v="CUST0443"/>
    <x v="194"/>
    <x v="0"/>
    <s v="Vijayawada"/>
    <x v="0"/>
    <s v="Mixer Grinder"/>
    <n v="3"/>
    <n v="6900"/>
    <x v="1"/>
    <s v="Cancelled"/>
    <n v="20700"/>
  </r>
  <r>
    <s v="ORD11175"/>
    <s v="CUST0375"/>
    <x v="211"/>
    <x v="0"/>
    <s v="Bengaluru"/>
    <x v="2"/>
    <s v="Watch"/>
    <n v="2"/>
    <n v="5000"/>
    <x v="4"/>
    <s v="Delivered"/>
    <n v="10000"/>
  </r>
  <r>
    <s v="ORD11176"/>
    <s v="CUST0320"/>
    <x v="116"/>
    <x v="0"/>
    <s v="Vijayawada"/>
    <x v="1"/>
    <s v="Laptop"/>
    <n v="2"/>
    <n v="42750"/>
    <x v="0"/>
    <s v="Returned"/>
    <n v="85500"/>
  </r>
  <r>
    <s v="ORD11177"/>
    <s v="CUST0189"/>
    <x v="240"/>
    <x v="2"/>
    <s v="Patna"/>
    <x v="3"/>
    <s v="Yoga Mat"/>
    <n v="1"/>
    <n v="9000"/>
    <x v="2"/>
    <s v="Delivered"/>
    <n v="9000"/>
  </r>
  <r>
    <s v="ORD11178"/>
    <s v="CUST0220"/>
    <x v="290"/>
    <x v="0"/>
    <s v="Chennai"/>
    <x v="1"/>
    <s v="Monitor"/>
    <n v="2"/>
    <n v="49850"/>
    <x v="0"/>
    <s v="Delivered"/>
    <n v="99700"/>
  </r>
  <r>
    <s v="ORD11179"/>
    <s v="CUST0126"/>
    <x v="54"/>
    <x v="1"/>
    <s v="Delhi"/>
    <x v="3"/>
    <s v="Dumbbells"/>
    <n v="2"/>
    <n v="4900"/>
    <x v="0"/>
    <s v="Delivered"/>
    <n v="9800"/>
  </r>
  <r>
    <s v="ORD11180"/>
    <s v="CUST0173"/>
    <x v="225"/>
    <x v="0"/>
    <s v="Hyderabad"/>
    <x v="3"/>
    <s v="Football"/>
    <n v="1"/>
    <n v="7400"/>
    <x v="1"/>
    <s v="Delivered"/>
    <n v="7400"/>
  </r>
  <r>
    <s v="ORD11181"/>
    <s v="CUST0006"/>
    <x v="152"/>
    <x v="3"/>
    <s v="Pune"/>
    <x v="1"/>
    <s v="Keyboard"/>
    <n v="3"/>
    <n v="58550"/>
    <x v="4"/>
    <s v="Delivered"/>
    <n v="175650"/>
  </r>
  <r>
    <s v="ORD11182"/>
    <s v="CUST0336"/>
    <x v="114"/>
    <x v="0"/>
    <s v="Vijayawada"/>
    <x v="0"/>
    <s v="Water Bottle"/>
    <n v="2"/>
    <n v="5800"/>
    <x v="0"/>
    <s v="Cancelled"/>
    <n v="11600"/>
  </r>
  <r>
    <s v="ORD11183"/>
    <s v="CUST0364"/>
    <x v="47"/>
    <x v="1"/>
    <s v="Lucknow"/>
    <x v="2"/>
    <s v="T-Shirt"/>
    <n v="2"/>
    <n v="1200"/>
    <x v="0"/>
    <s v="Delivered"/>
    <n v="2400"/>
  </r>
  <r>
    <s v="ORD11184"/>
    <s v="CUST0098"/>
    <x v="127"/>
    <x v="1"/>
    <s v="Lucknow"/>
    <x v="3"/>
    <s v="Yoga Mat"/>
    <n v="1"/>
    <n v="7350"/>
    <x v="0"/>
    <s v="Returned"/>
    <n v="7350"/>
  </r>
  <r>
    <s v="ORD11185"/>
    <s v="CUST0289"/>
    <x v="100"/>
    <x v="0"/>
    <s v="Vijayawada"/>
    <x v="3"/>
    <s v="Yoga Mat"/>
    <n v="1"/>
    <n v="2600"/>
    <x v="2"/>
    <s v="Delivered"/>
    <n v="2600"/>
  </r>
  <r>
    <s v="ORD11186"/>
    <s v="CUST0443"/>
    <x v="72"/>
    <x v="0"/>
    <s v="Chennai"/>
    <x v="1"/>
    <s v="Monitor"/>
    <n v="1"/>
    <n v="32350"/>
    <x v="0"/>
    <s v="Delivered"/>
    <n v="32350"/>
  </r>
  <r>
    <s v="ORD11187"/>
    <s v="CUST0184"/>
    <x v="349"/>
    <x v="2"/>
    <s v="Guwahati"/>
    <x v="4"/>
    <s v="Moisturizer"/>
    <n v="2"/>
    <n v="4500"/>
    <x v="0"/>
    <s v="Shipped"/>
    <n v="9000"/>
  </r>
  <r>
    <s v="ORD11188"/>
    <s v="CUST0260"/>
    <x v="124"/>
    <x v="3"/>
    <s v="Ahmedabad"/>
    <x v="3"/>
    <s v="Yoga Mat"/>
    <n v="1"/>
    <n v="2400"/>
    <x v="2"/>
    <s v="Delivered"/>
    <n v="2400"/>
  </r>
  <r>
    <s v="ORD11189"/>
    <s v="CUST0444"/>
    <x v="184"/>
    <x v="0"/>
    <s v="Vijayawada"/>
    <x v="2"/>
    <s v="Jeans"/>
    <n v="1"/>
    <n v="7450"/>
    <x v="1"/>
    <s v="Delivered"/>
    <n v="7450"/>
  </r>
  <r>
    <s v="ORD11190"/>
    <s v="CUST0072"/>
    <x v="53"/>
    <x v="2"/>
    <s v="Kolkata"/>
    <x v="2"/>
    <s v="T-Shirt"/>
    <n v="1"/>
    <n v="7150"/>
    <x v="0"/>
    <s v="Delivered"/>
    <n v="7150"/>
  </r>
  <r>
    <s v="ORD11191"/>
    <s v="CUST0140"/>
    <x v="257"/>
    <x v="0"/>
    <s v="Chennai"/>
    <x v="0"/>
    <s v="Cookware Set"/>
    <n v="3"/>
    <n v="8150"/>
    <x v="2"/>
    <s v="Delivered"/>
    <n v="24450"/>
  </r>
  <r>
    <s v="ORD11192"/>
    <s v="CUST0450"/>
    <x v="350"/>
    <x v="0"/>
    <s v="Hyderabad"/>
    <x v="0"/>
    <s v="Water Bottle"/>
    <n v="1"/>
    <n v="3900"/>
    <x v="2"/>
    <s v="Delivered"/>
    <n v="3900"/>
  </r>
  <r>
    <s v="ORD11193"/>
    <s v="CUST0104"/>
    <x v="202"/>
    <x v="1"/>
    <s v="Jaipur"/>
    <x v="1"/>
    <s v="Laptop"/>
    <n v="1"/>
    <n v="12550"/>
    <x v="1"/>
    <s v="Delivered"/>
    <n v="12550"/>
  </r>
  <r>
    <s v="ORD11194"/>
    <s v="CUST0307"/>
    <x v="172"/>
    <x v="1"/>
    <s v="Jaipur"/>
    <x v="4"/>
    <s v="Moisturizer"/>
    <n v="1"/>
    <n v="2050"/>
    <x v="5"/>
    <s v="Delivered"/>
    <n v="2050"/>
  </r>
  <r>
    <s v="ORD11195"/>
    <s v="CUST0341"/>
    <x v="161"/>
    <x v="0"/>
    <s v="Bengaluru"/>
    <x v="3"/>
    <s v="Yoga Mat"/>
    <n v="2"/>
    <n v="700"/>
    <x v="1"/>
    <s v="Delivered"/>
    <n v="1400"/>
  </r>
  <r>
    <s v="ORD11196"/>
    <s v="CUST0051"/>
    <x v="168"/>
    <x v="3"/>
    <s v="Ahmedabad"/>
    <x v="4"/>
    <s v="Hair Dryer"/>
    <n v="2"/>
    <n v="1400"/>
    <x v="2"/>
    <s v="Delivered"/>
    <n v="2800"/>
  </r>
  <r>
    <s v="ORD11197"/>
    <s v="CUST0049"/>
    <x v="148"/>
    <x v="0"/>
    <s v="Chennai"/>
    <x v="0"/>
    <s v="Cookware Set"/>
    <n v="2"/>
    <n v="5900"/>
    <x v="2"/>
    <s v="Delivered"/>
    <n v="11800"/>
  </r>
  <r>
    <s v="ORD11198"/>
    <s v="CUST0114"/>
    <x v="123"/>
    <x v="2"/>
    <s v="Bhubaneswar"/>
    <x v="1"/>
    <s v="Smartphone"/>
    <n v="2"/>
    <n v="51100"/>
    <x v="0"/>
    <s v="Delivered"/>
    <n v="102200"/>
  </r>
  <r>
    <s v="ORD11199"/>
    <s v="CUST0251"/>
    <x v="261"/>
    <x v="0"/>
    <s v="Hyderabad"/>
    <x v="2"/>
    <s v="Sneakers"/>
    <n v="1"/>
    <n v="2400"/>
    <x v="2"/>
    <s v="Delivered"/>
    <n v="2400"/>
  </r>
  <r>
    <s v="ORD11200"/>
    <s v="CUST0083"/>
    <x v="324"/>
    <x v="1"/>
    <s v="Chandigarh"/>
    <x v="1"/>
    <s v="Keyboard"/>
    <n v="1"/>
    <n v="56050"/>
    <x v="1"/>
    <s v="Delivered"/>
    <n v="560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0">
  <r>
    <s v="ORD10001"/>
    <s v="CUST0088"/>
    <d v="2025-04-10T00:00:00"/>
    <s v="South"/>
    <s v="Vijayawada"/>
    <s v="Home &amp; Kitchen"/>
    <x v="0"/>
    <n v="1"/>
    <n v="5500"/>
    <s v="UPI"/>
    <s v="Delivered"/>
    <n v="5500"/>
  </r>
  <r>
    <s v="ORD10002"/>
    <s v="CUST0161"/>
    <d v="2025-11-10T00:00:00"/>
    <s v="South"/>
    <s v="Bengaluru"/>
    <s v="Electronics"/>
    <x v="1"/>
    <n v="4"/>
    <n v="47100"/>
    <s v="UPI"/>
    <s v="Returned"/>
    <n v="188400"/>
  </r>
  <r>
    <s v="ORD10003"/>
    <s v="CUST0190"/>
    <d v="2025-06-24T00:00:00"/>
    <s v="South"/>
    <s v="Chennai"/>
    <s v="Fashion"/>
    <x v="2"/>
    <n v="1"/>
    <n v="5050"/>
    <s v="UPI"/>
    <s v="Delivered"/>
    <n v="5050"/>
  </r>
  <r>
    <s v="ORD10004"/>
    <s v="CUST0274"/>
    <d v="2025-03-30T00:00:00"/>
    <s v="North"/>
    <s v="Chandigarh"/>
    <s v="Fashion"/>
    <x v="2"/>
    <n v="3"/>
    <n v="3950"/>
    <s v="Debit Card"/>
    <s v="Delivered"/>
    <n v="11850"/>
  </r>
  <r>
    <s v="ORD10005"/>
    <s v="CUST0264"/>
    <d v="2025-02-04T00:00:00"/>
    <s v="North"/>
    <s v="Jaipur"/>
    <s v="Sports"/>
    <x v="3"/>
    <n v="2"/>
    <n v="1450"/>
    <s v="Credit Card"/>
    <s v="Delivered"/>
    <n v="2900"/>
  </r>
  <r>
    <s v="ORD10006"/>
    <s v="CUST0191"/>
    <d v="2025-08-06T00:00:00"/>
    <s v="South"/>
    <s v="Vijayawada"/>
    <s v="Sports"/>
    <x v="4"/>
    <n v="2"/>
    <n v="3450"/>
    <s v="Credit Card"/>
    <s v="Delivered"/>
    <n v="6900"/>
  </r>
  <r>
    <s v="ORD10007"/>
    <s v="CUST0190"/>
    <d v="2025-10-23T00:00:00"/>
    <s v="East"/>
    <s v="Bhubaneswar"/>
    <s v="Home &amp; Kitchen"/>
    <x v="5"/>
    <n v="1"/>
    <n v="6600"/>
    <s v="Credit Card"/>
    <s v="Delivered"/>
    <n v="6600"/>
  </r>
  <r>
    <s v="ORD10008"/>
    <s v="CUST0157"/>
    <d v="2025-01-15T00:00:00"/>
    <s v="South"/>
    <s v="Hyderabad"/>
    <s v="Sports"/>
    <x v="6"/>
    <n v="4"/>
    <n v="6050"/>
    <s v="Debit Card"/>
    <s v="Delivered"/>
    <n v="24200"/>
  </r>
  <r>
    <s v="ORD10009"/>
    <s v="CUST0392"/>
    <d v="2025-06-12T00:00:00"/>
    <s v="East"/>
    <s v="Guwahati"/>
    <s v="Electronics"/>
    <x v="7"/>
    <n v="1"/>
    <n v="26100"/>
    <s v="UPI"/>
    <s v="Delivered"/>
    <n v="26100"/>
  </r>
  <r>
    <s v="ORD10010"/>
    <s v="CUST0033"/>
    <d v="2025-02-17T00:00:00"/>
    <s v="South"/>
    <s v="Chennai"/>
    <s v="Beauty"/>
    <x v="8"/>
    <n v="4"/>
    <n v="3350"/>
    <s v="Cash on Delivery"/>
    <s v="Delivered"/>
    <n v="13400"/>
  </r>
  <r>
    <s v="ORD10011"/>
    <s v="CUST0131"/>
    <d v="2025-09-14T00:00:00"/>
    <s v="West"/>
    <s v="Surat"/>
    <s v="Home &amp; Kitchen"/>
    <x v="0"/>
    <n v="2"/>
    <n v="2650"/>
    <s v="Credit Card"/>
    <s v="Returned"/>
    <n v="5300"/>
  </r>
  <r>
    <s v="ORD10012"/>
    <s v="CUST0241"/>
    <d v="2025-02-21T00:00:00"/>
    <s v="North"/>
    <s v="Lucknow"/>
    <s v="Beauty"/>
    <x v="8"/>
    <n v="1"/>
    <n v="750"/>
    <s v="UPI"/>
    <s v="Cancelled"/>
    <n v="750"/>
  </r>
  <r>
    <s v="ORD10013"/>
    <s v="CUST0327"/>
    <d v="2025-07-06T00:00:00"/>
    <s v="East"/>
    <s v="Patna"/>
    <s v="Fashion"/>
    <x v="2"/>
    <n v="2"/>
    <n v="5000"/>
    <s v="UPI"/>
    <s v="Cancelled"/>
    <n v="10000"/>
  </r>
  <r>
    <s v="ORD10014"/>
    <s v="CUST0340"/>
    <d v="2025-10-13T00:00:00"/>
    <s v="East"/>
    <s v="Kolkata"/>
    <s v="Fashion"/>
    <x v="2"/>
    <n v="1"/>
    <n v="2650"/>
    <s v="Credit Card"/>
    <s v="Delivered"/>
    <n v="2650"/>
  </r>
  <r>
    <s v="ORD10015"/>
    <s v="CUST0116"/>
    <d v="2025-08-21T00:00:00"/>
    <s v="South"/>
    <s v="Hyderabad"/>
    <s v="Sports"/>
    <x v="3"/>
    <n v="1"/>
    <n v="3500"/>
    <s v="UPI"/>
    <s v="Delivered"/>
    <n v="3500"/>
  </r>
  <r>
    <s v="ORD10016"/>
    <s v="CUST0160"/>
    <d v="2025-04-06T00:00:00"/>
    <s v="North"/>
    <s v="Delhi"/>
    <s v="Home &amp; Kitchen"/>
    <x v="9"/>
    <n v="1"/>
    <n v="6300"/>
    <s v="UPI"/>
    <s v="Delivered"/>
    <n v="6300"/>
  </r>
  <r>
    <s v="ORD10017"/>
    <s v="CUST0101"/>
    <d v="2025-04-23T00:00:00"/>
    <s v="South"/>
    <s v="Hyderabad"/>
    <s v="Fashion"/>
    <x v="2"/>
    <n v="1"/>
    <n v="2350"/>
    <s v="Debit Card"/>
    <s v="Delivered"/>
    <n v="2350"/>
  </r>
  <r>
    <s v="ORD10018"/>
    <s v="CUST0126"/>
    <d v="2025-05-10T00:00:00"/>
    <s v="West"/>
    <s v="Pune"/>
    <s v="Sports"/>
    <x v="10"/>
    <n v="1"/>
    <n v="4400"/>
    <s v="UPI"/>
    <s v="Delivered"/>
    <n v="4400"/>
  </r>
  <r>
    <s v="ORD10019"/>
    <s v="CUST0294"/>
    <d v="2025-10-07T00:00:00"/>
    <s v="East"/>
    <s v="Guwahati"/>
    <s v="Fashion"/>
    <x v="11"/>
    <n v="1"/>
    <n v="4900"/>
    <s v="Credit Card"/>
    <s v="Delivered"/>
    <n v="4900"/>
  </r>
  <r>
    <s v="ORD10020"/>
    <s v="CUST0349"/>
    <d v="2025-09-16T00:00:00"/>
    <s v="West"/>
    <s v="Ahmedabad"/>
    <s v="Home &amp; Kitchen"/>
    <x v="5"/>
    <n v="3"/>
    <n v="7400"/>
    <s v="UPI"/>
    <s v="Delivered"/>
    <n v="22200"/>
  </r>
  <r>
    <s v="ORD10021"/>
    <s v="CUST0417"/>
    <d v="2025-05-08T00:00:00"/>
    <s v="South"/>
    <s v="Bengaluru"/>
    <s v="Fashion"/>
    <x v="12"/>
    <n v="1"/>
    <n v="4300"/>
    <s v="Debit Card"/>
    <s v="Delivered"/>
    <n v="4300"/>
  </r>
  <r>
    <s v="ORD10022"/>
    <s v="CUST0252"/>
    <d v="2025-05-24T00:00:00"/>
    <s v="West"/>
    <s v="Mumbai"/>
    <s v="Fashion"/>
    <x v="13"/>
    <n v="4"/>
    <n v="1250"/>
    <s v="Cash on Delivery"/>
    <s v="Delivered"/>
    <n v="5000"/>
  </r>
  <r>
    <s v="ORD10023"/>
    <s v="CUST0009"/>
    <d v="2025-08-21T00:00:00"/>
    <s v="North"/>
    <s v="Delhi"/>
    <s v="Beauty"/>
    <x v="14"/>
    <n v="1"/>
    <n v="1350"/>
    <s v="Cash on Delivery"/>
    <s v="Cancelled"/>
    <n v="1350"/>
  </r>
  <r>
    <s v="ORD10024"/>
    <s v="CUST0422"/>
    <d v="2025-04-14T00:00:00"/>
    <s v="East"/>
    <s v="Bhubaneswar"/>
    <s v="Home &amp; Kitchen"/>
    <x v="9"/>
    <n v="2"/>
    <n v="7050"/>
    <s v="UPI"/>
    <s v="Delivered"/>
    <n v="14100"/>
  </r>
  <r>
    <s v="ORD10025"/>
    <s v="CUST0310"/>
    <d v="2025-06-12T00:00:00"/>
    <s v="South"/>
    <s v="Hyderabad"/>
    <s v="Fashion"/>
    <x v="12"/>
    <n v="1"/>
    <n v="5450"/>
    <s v="UPI"/>
    <s v="Delivered"/>
    <n v="5450"/>
  </r>
  <r>
    <s v="ORD10026"/>
    <m/>
    <d v="2025-07-14T00:00:00"/>
    <s v="South"/>
    <s v="Vijayawada"/>
    <s v="Fashion"/>
    <x v="13"/>
    <n v="1"/>
    <n v="2200"/>
    <s v="Debit Card"/>
    <s v="Delivered"/>
    <n v="2200"/>
  </r>
  <r>
    <s v="ORD10027"/>
    <s v="CUST0365"/>
    <d v="2025-02-20T00:00:00"/>
    <s v="North"/>
    <s v="Lucknow"/>
    <s v="Fashion"/>
    <x v="13"/>
    <n v="1"/>
    <n v="3200"/>
    <s v="UPI"/>
    <s v="Returned"/>
    <n v="3200"/>
  </r>
  <r>
    <s v="ORD10028"/>
    <s v="CUST0317"/>
    <d v="2025-10-31T00:00:00"/>
    <s v="North"/>
    <s v="Delhi"/>
    <s v="Sports"/>
    <x v="10"/>
    <n v="2"/>
    <n v="5300"/>
    <s v="Credit Card"/>
    <s v="Delivered"/>
    <n v="10600"/>
  </r>
  <r>
    <s v="ORD10029"/>
    <s v="CUST0099"/>
    <d v="2025-08-21T00:00:00"/>
    <s v="West"/>
    <s v="Surat"/>
    <s v="Home &amp; Kitchen"/>
    <x v="9"/>
    <n v="4"/>
    <n v="1800"/>
    <s v="Net Banking"/>
    <s v="Cancelled"/>
    <n v="7200"/>
  </r>
  <r>
    <s v="ORD10030"/>
    <s v="CUST0416"/>
    <d v="2025-06-10T00:00:00"/>
    <s v="North"/>
    <s v="Delhi"/>
    <s v="Sports"/>
    <x v="6"/>
    <n v="5"/>
    <n v="5950"/>
    <s v="UPI"/>
    <s v="Delivered"/>
    <n v="29750"/>
  </r>
  <r>
    <s v="ORD10031"/>
    <s v="CUST0431"/>
    <d v="2025-12-08T00:00:00"/>
    <s v="North"/>
    <s v="Lucknow"/>
    <s v="Home &amp; Kitchen"/>
    <x v="5"/>
    <n v="4"/>
    <n v="7650"/>
    <s v="UPI"/>
    <s v="Delivered"/>
    <n v="30600"/>
  </r>
  <r>
    <s v="ORD10032"/>
    <s v="CUST0170"/>
    <d v="2025-09-04T00:00:00"/>
    <s v="South"/>
    <s v="Bengaluru"/>
    <s v="Home &amp; Kitchen"/>
    <x v="9"/>
    <n v="2"/>
    <n v="6750"/>
    <s v="Debit Card"/>
    <s v="Delivered"/>
    <n v="13500"/>
  </r>
  <r>
    <s v="ORD10033"/>
    <s v="CUST0264"/>
    <d v="2025-05-22T00:00:00"/>
    <s v="East"/>
    <s v="Kolkata"/>
    <s v="Home &amp; Kitchen"/>
    <x v="5"/>
    <n v="1"/>
    <n v="950"/>
    <s v="Debit Card"/>
    <s v="Delivered"/>
    <n v="950"/>
  </r>
  <r>
    <s v="ORD10034"/>
    <s v="CUST0125"/>
    <d v="2025-05-30T00:00:00"/>
    <s v="North"/>
    <s v="Chandigarh"/>
    <s v="Sports"/>
    <x v="4"/>
    <n v="1"/>
    <n v="6000"/>
    <s v="Credit Card"/>
    <s v="Delivered"/>
    <n v="6000"/>
  </r>
  <r>
    <s v="ORD10035"/>
    <s v="CUST0060"/>
    <d v="2025-04-18T00:00:00"/>
    <s v="South"/>
    <s v="Bengaluru"/>
    <s v="Fashion"/>
    <x v="13"/>
    <n v="2"/>
    <n v="2700"/>
    <s v="UPI"/>
    <s v="Shipped"/>
    <n v="5400"/>
  </r>
  <r>
    <s v="ORD10036"/>
    <s v="CUST0269"/>
    <d v="2025-05-04T00:00:00"/>
    <s v="East"/>
    <s v="Guwahati"/>
    <s v="Fashion"/>
    <x v="2"/>
    <n v="2"/>
    <n v="4450"/>
    <s v="Debit Card"/>
    <s v="Delivered"/>
    <n v="8900"/>
  </r>
  <r>
    <s v="ORD10037"/>
    <s v="CUST0318"/>
    <d v="2025-10-06T00:00:00"/>
    <s v="West"/>
    <s v="Ahmedabad"/>
    <s v="Beauty"/>
    <x v="8"/>
    <n v="2"/>
    <n v="2300"/>
    <s v="UPI"/>
    <s v="Delivered"/>
    <n v="4600"/>
  </r>
  <r>
    <s v="ORD10038"/>
    <s v="CUST0089"/>
    <d v="2025-08-25T00:00:00"/>
    <s v="North"/>
    <s v="Jaipur"/>
    <s v="Home &amp; Kitchen"/>
    <x v="15"/>
    <n v="1"/>
    <n v="8250"/>
    <s v="UPI"/>
    <s v="Delivered"/>
    <n v="8250"/>
  </r>
  <r>
    <s v="ORD10039"/>
    <s v="CUST0435"/>
    <d v="2025-03-27T00:00:00"/>
    <s v="West"/>
    <s v="Ahmedabad"/>
    <s v="Electronics"/>
    <x v="16"/>
    <n v="2"/>
    <n v="28700"/>
    <s v="UPI"/>
    <s v="Delivered"/>
    <n v="57400"/>
  </r>
  <r>
    <s v="ORD10040"/>
    <s v="CUST0432"/>
    <d v="2025-12-07T00:00:00"/>
    <s v="South"/>
    <s v="Hyderabad"/>
    <s v="Electronics"/>
    <x v="17"/>
    <n v="5"/>
    <n v="20700"/>
    <s v="UPI"/>
    <s v="Delivered"/>
    <n v="103500"/>
  </r>
  <r>
    <s v="ORD10041"/>
    <s v="CUST0223"/>
    <d v="2025-09-07T00:00:00"/>
    <s v="North"/>
    <s v="Delhi"/>
    <s v="Home &amp; Kitchen"/>
    <x v="18"/>
    <n v="2"/>
    <n v="3750"/>
    <s v="Debit Card"/>
    <s v="Delivered"/>
    <n v="7500"/>
  </r>
  <r>
    <s v="ORD10042"/>
    <s v="CUST0384"/>
    <d v="2025-06-09T00:00:00"/>
    <s v="North"/>
    <s v="Delhi"/>
    <s v="Sports"/>
    <x v="19"/>
    <n v="1"/>
    <n v="2050"/>
    <s v="Debit Card"/>
    <s v="Delivered"/>
    <n v="2050"/>
  </r>
  <r>
    <s v="ORD10043"/>
    <s v="CUST0065"/>
    <d v="2025-06-17T00:00:00"/>
    <s v="North"/>
    <s v="Chandigarh"/>
    <s v="Sports"/>
    <x v="4"/>
    <n v="3"/>
    <n v="1700"/>
    <s v="Cash on Delivery"/>
    <s v="Delivered"/>
    <n v="5100"/>
  </r>
  <r>
    <s v="ORD10044"/>
    <s v="CUST0337"/>
    <d v="2025-03-31T00:00:00"/>
    <s v="South"/>
    <s v="Vijayawada"/>
    <s v="Sports"/>
    <x v="4"/>
    <n v="1"/>
    <n v="1450"/>
    <s v="UPI"/>
    <s v="Delivered"/>
    <n v="1450"/>
  </r>
  <r>
    <s v="ORD10045"/>
    <s v="CUST0075"/>
    <d v="2025-08-05T00:00:00"/>
    <s v="West"/>
    <s v="Pune"/>
    <s v="Home &amp; Kitchen"/>
    <x v="5"/>
    <n v="1"/>
    <n v="7400"/>
    <s v="UPI"/>
    <s v="Delivered"/>
    <n v="7400"/>
  </r>
  <r>
    <s v="ORD10046"/>
    <s v="CUST0096"/>
    <d v="2025-06-01T00:00:00"/>
    <s v="North"/>
    <s v="Delhi"/>
    <s v="Beauty"/>
    <x v="14"/>
    <n v="3"/>
    <n v="3800"/>
    <s v="Net Banking"/>
    <s v="Delivered"/>
    <n v="11400"/>
  </r>
  <r>
    <s v="ORD10047"/>
    <s v="CUST0062"/>
    <d v="2025-03-25T00:00:00"/>
    <s v="South"/>
    <s v="Chennai"/>
    <s v="Sports"/>
    <x v="6"/>
    <n v="2"/>
    <n v="7650"/>
    <s v="UPI"/>
    <s v="Cancelled"/>
    <n v="15300"/>
  </r>
  <r>
    <s v="ORD10048"/>
    <s v="CUST0284"/>
    <d v="2025-07-25T00:00:00"/>
    <s v="East"/>
    <s v="Kolkata"/>
    <s v="Sports"/>
    <x v="6"/>
    <n v="4"/>
    <n v="1000"/>
    <s v="Cash on Delivery"/>
    <s v="Delivered"/>
    <n v="4000"/>
  </r>
  <r>
    <s v="ORD10049"/>
    <s v="CUST0053"/>
    <d v="2025-05-31T00:00:00"/>
    <s v="North"/>
    <s v="Lucknow"/>
    <s v="Fashion"/>
    <x v="2"/>
    <n v="1"/>
    <n v="1050"/>
    <s v="Debit Card"/>
    <s v="Delivered"/>
    <n v="1050"/>
  </r>
  <r>
    <s v="ORD10050"/>
    <s v="CUST0235"/>
    <d v="2025-11-27T00:00:00"/>
    <s v="East"/>
    <s v="Bhubaneswar"/>
    <s v="Beauty"/>
    <x v="20"/>
    <n v="2"/>
    <n v="500"/>
    <s v="Credit Card"/>
    <s v="Cancelled"/>
    <n v="1000"/>
  </r>
  <r>
    <s v="ORD10051"/>
    <s v="CUST0170"/>
    <d v="2025-10-10T00:00:00"/>
    <s v="West"/>
    <s v="Pune"/>
    <s v="Electronics"/>
    <x v="17"/>
    <n v="1"/>
    <n v="40450"/>
    <s v="UPI"/>
    <s v="Delivered"/>
    <n v="40450"/>
  </r>
  <r>
    <s v="ORD10052"/>
    <s v="CUST0327"/>
    <d v="2025-08-05T00:00:00"/>
    <s v="North"/>
    <s v="Jaipur"/>
    <s v="Beauty"/>
    <x v="20"/>
    <n v="1"/>
    <n v="4950"/>
    <s v="Credit Card"/>
    <s v="Shipped"/>
    <n v="4950"/>
  </r>
  <r>
    <s v="ORD10053"/>
    <s v="CUST0019"/>
    <d v="2025-02-08T00:00:00"/>
    <s v="South"/>
    <s v="Chennai"/>
    <s v="Fashion"/>
    <x v="2"/>
    <n v="1"/>
    <n v="4050"/>
    <s v="Debit Card"/>
    <s v="Delivered"/>
    <n v="4050"/>
  </r>
  <r>
    <s v="ORD10054"/>
    <s v="CUST0423"/>
    <d v="2025-01-01T00:00:00"/>
    <s v="South"/>
    <s v="Vijayawada"/>
    <s v="Home &amp; Kitchen"/>
    <x v="0"/>
    <n v="2"/>
    <n v="5250"/>
    <s v="Debit Card"/>
    <s v="Shipped"/>
    <n v="10500"/>
  </r>
  <r>
    <s v="ORD10055"/>
    <s v="CUST0058"/>
    <d v="2025-02-13T00:00:00"/>
    <s v="East"/>
    <s v="Patna"/>
    <s v="Fashion"/>
    <x v="2"/>
    <n v="1"/>
    <n v="4050"/>
    <s v="Credit Card"/>
    <s v="Delivered"/>
    <n v="4050"/>
  </r>
  <r>
    <s v="ORD10056"/>
    <s v="CUST0147"/>
    <d v="2025-01-20T00:00:00"/>
    <s v="South"/>
    <s v="Hyderabad"/>
    <s v="Sports"/>
    <x v="6"/>
    <n v="4"/>
    <n v="900"/>
    <s v="Cash on Delivery"/>
    <s v="Delivered"/>
    <n v="3600"/>
  </r>
  <r>
    <s v="ORD10057"/>
    <s v="CUST0441"/>
    <d v="2025-01-12T00:00:00"/>
    <s v="South"/>
    <s v="Chennai"/>
    <s v="Electronics"/>
    <x v="7"/>
    <n v="2"/>
    <n v="29950"/>
    <s v="Credit Card"/>
    <s v="Cancelled"/>
    <n v="59900"/>
  </r>
  <r>
    <s v="ORD10058"/>
    <s v="CUST0178"/>
    <d v="2025-01-28T00:00:00"/>
    <s v="South"/>
    <s v="Hyderabad"/>
    <s v="Sports"/>
    <x v="4"/>
    <n v="1"/>
    <n v="3150"/>
    <s v="Credit Card"/>
    <s v="Delivered"/>
    <n v="3150"/>
  </r>
  <r>
    <s v="ORD10059"/>
    <s v="CUST0220"/>
    <d v="2025-08-28T00:00:00"/>
    <s v="South"/>
    <s v="Chennai"/>
    <s v="Electronics"/>
    <x v="7"/>
    <n v="2"/>
    <n v="45600"/>
    <s v="UPI"/>
    <s v="Shipped"/>
    <n v="91200"/>
  </r>
  <r>
    <s v="ORD10060"/>
    <s v="CUST0286"/>
    <d v="2025-08-30T00:00:00"/>
    <s v="East"/>
    <s v="Bhubaneswar"/>
    <s v="Electronics"/>
    <x v="1"/>
    <n v="2"/>
    <n v="27500"/>
    <s v="Cash on Delivery"/>
    <s v="Delivered"/>
    <n v="55000"/>
  </r>
  <r>
    <s v="ORD10061"/>
    <s v="CUST0282"/>
    <d v="2025-03-04T00:00:00"/>
    <s v="South"/>
    <s v="Hyderabad"/>
    <s v="Fashion"/>
    <x v="21"/>
    <n v="2"/>
    <n v="6300"/>
    <s v="Net Banking"/>
    <s v="Delivered"/>
    <n v="12600"/>
  </r>
  <r>
    <s v="ORD10062"/>
    <s v="CUST0311"/>
    <d v="2025-01-06T00:00:00"/>
    <s v="East"/>
    <s v="Kolkata"/>
    <s v="Home &amp; Kitchen"/>
    <x v="9"/>
    <n v="1"/>
    <n v="800"/>
    <s v="UPI"/>
    <s v="Delivered"/>
    <n v="800"/>
  </r>
  <r>
    <s v="ORD10063"/>
    <s v="CUST0083"/>
    <d v="2025-05-25T00:00:00"/>
    <s v="East"/>
    <s v="Bhubaneswar"/>
    <s v="Fashion"/>
    <x v="21"/>
    <n v="2"/>
    <n v="7350"/>
    <s v="Debit Card"/>
    <s v="Delivered"/>
    <n v="14700"/>
  </r>
  <r>
    <s v="ORD10064"/>
    <s v="CUST0034"/>
    <d v="2025-12-14T00:00:00"/>
    <s v="South"/>
    <s v="Chennai"/>
    <s v="Electronics"/>
    <x v="7"/>
    <n v="1"/>
    <n v="18350"/>
    <s v="Cash on Delivery"/>
    <s v="Delivered"/>
    <n v="18350"/>
  </r>
  <r>
    <s v="ORD10065"/>
    <s v="CUST0389"/>
    <d v="2025-08-10T00:00:00"/>
    <s v="North"/>
    <s v="Jaipur"/>
    <s v="Electronics"/>
    <x v="22"/>
    <n v="2"/>
    <n v="50350"/>
    <s v="Cash on Delivery"/>
    <s v="Delivered"/>
    <n v="100700"/>
  </r>
  <r>
    <s v="ORD10066"/>
    <s v="CUST0103"/>
    <d v="2025-07-11T00:00:00"/>
    <s v="South"/>
    <s v="Chennai"/>
    <s v="Beauty"/>
    <x v="14"/>
    <n v="3"/>
    <n v="2200"/>
    <s v="Debit Card"/>
    <s v="Shipped"/>
    <n v="6600"/>
  </r>
  <r>
    <s v="ORD10067"/>
    <s v="CUST0335"/>
    <d v="2025-01-30T00:00:00"/>
    <s v="West"/>
    <s v="Pune"/>
    <s v="Electronics"/>
    <x v="22"/>
    <n v="1"/>
    <n v="36350"/>
    <s v="Debit Card"/>
    <s v="Delivered"/>
    <n v="36350"/>
  </r>
  <r>
    <s v="ORD10068"/>
    <s v="CUST0069"/>
    <d v="2025-02-03T00:00:00"/>
    <s v="West"/>
    <s v="Mumbai"/>
    <s v="Fashion"/>
    <x v="12"/>
    <n v="4"/>
    <n v="1500"/>
    <s v="Credit Card"/>
    <s v="Delivered"/>
    <n v="6000"/>
  </r>
  <r>
    <s v="ORD10069"/>
    <s v="CUST0336"/>
    <d v="2025-04-05T00:00:00"/>
    <s v="South"/>
    <s v="Chennai"/>
    <s v="Fashion"/>
    <x v="11"/>
    <n v="1"/>
    <n v="4800"/>
    <s v="Credit Card"/>
    <s v="Delivered"/>
    <n v="4800"/>
  </r>
  <r>
    <s v="ORD10070"/>
    <s v="CUST0061"/>
    <d v="2025-05-02T00:00:00"/>
    <s v="South"/>
    <s v="Vijayawada"/>
    <s v="Home &amp; Kitchen"/>
    <x v="15"/>
    <n v="3"/>
    <n v="3850"/>
    <s v="Credit Card"/>
    <s v="Returned"/>
    <n v="11550"/>
  </r>
  <r>
    <s v="ORD10071"/>
    <s v="CUST0012"/>
    <d v="2025-12-12T00:00:00"/>
    <s v="South"/>
    <s v="Vijayawada"/>
    <s v="Electronics"/>
    <x v="16"/>
    <n v="1"/>
    <n v="23050"/>
    <s v="Credit Card"/>
    <s v="Delivered"/>
    <n v="23050"/>
  </r>
  <r>
    <s v="ORD10072"/>
    <s v="CUST0056"/>
    <d v="2025-12-16T00:00:00"/>
    <s v="North"/>
    <s v="Delhi"/>
    <s v="Sports"/>
    <x v="19"/>
    <n v="1"/>
    <n v="3550"/>
    <s v="Credit Card"/>
    <s v="Delivered"/>
    <n v="3550"/>
  </r>
  <r>
    <s v="ORD10073"/>
    <s v="CUST0127"/>
    <d v="2025-02-25T00:00:00"/>
    <s v="South"/>
    <s v="Vijayawada"/>
    <s v="Electronics"/>
    <x v="16"/>
    <n v="2"/>
    <n v="52550"/>
    <s v="UPI"/>
    <s v="Delivered"/>
    <n v="105100"/>
  </r>
  <r>
    <s v="ORD10074"/>
    <s v="CUST0007"/>
    <d v="2025-01-03T00:00:00"/>
    <s v="West"/>
    <s v="Pune"/>
    <s v="Home &amp; Kitchen"/>
    <x v="5"/>
    <n v="2"/>
    <n v="4300"/>
    <s v="UPI"/>
    <s v="Delivered"/>
    <n v="8600"/>
  </r>
  <r>
    <s v="ORD10075"/>
    <s v="CUST0119"/>
    <d v="2025-01-28T00:00:00"/>
    <s v="North"/>
    <s v="Delhi"/>
    <s v="Sports"/>
    <x v="10"/>
    <n v="1"/>
    <n v="8750"/>
    <s v="Credit Card"/>
    <s v="Delivered"/>
    <n v="8750"/>
  </r>
  <r>
    <s v="ORD10076"/>
    <s v="CUST0068"/>
    <d v="2025-03-08T00:00:00"/>
    <s v="East"/>
    <s v="Bhubaneswar"/>
    <s v="Electronics"/>
    <x v="7"/>
    <n v="1"/>
    <n v="21750"/>
    <s v="Cash on Delivery"/>
    <s v="Delivered"/>
    <n v="21750"/>
  </r>
  <r>
    <s v="ORD10077"/>
    <s v="CUST0042"/>
    <d v="2025-04-11T00:00:00"/>
    <s v="South"/>
    <s v="Chennai"/>
    <s v="Fashion"/>
    <x v="11"/>
    <n v="2"/>
    <n v="6000"/>
    <s v="Credit Card"/>
    <s v="Delivered"/>
    <n v="12000"/>
  </r>
  <r>
    <s v="ORD10078"/>
    <s v="CUST0150"/>
    <d v="2025-10-04T00:00:00"/>
    <s v="West"/>
    <s v="Ahmedabad"/>
    <s v="Home &amp; Kitchen"/>
    <x v="5"/>
    <n v="5"/>
    <n v="3350"/>
    <s v="Debit Card"/>
    <s v="Delivered"/>
    <n v="16750"/>
  </r>
  <r>
    <s v="ORD10079"/>
    <s v="CUST0243"/>
    <d v="2025-01-31T00:00:00"/>
    <s v="East"/>
    <s v="Bhubaneswar"/>
    <s v="Electronics"/>
    <x v="17"/>
    <n v="1"/>
    <n v="19050"/>
    <s v="Cash on Delivery"/>
    <s v="Delivered"/>
    <n v="19050"/>
  </r>
  <r>
    <s v="ORD10080"/>
    <s v="CUST0369"/>
    <d v="2025-04-04T00:00:00"/>
    <s v="East"/>
    <s v="Bhubaneswar"/>
    <s v="Home &amp; Kitchen"/>
    <x v="15"/>
    <n v="4"/>
    <n v="3750"/>
    <s v="Cash on Delivery"/>
    <s v="Shipped"/>
    <n v="15000"/>
  </r>
  <r>
    <s v="ORD10081"/>
    <s v="CUST0326"/>
    <d v="2025-04-28T00:00:00"/>
    <s v="East"/>
    <s v="Bhubaneswar"/>
    <s v="Electronics"/>
    <x v="1"/>
    <n v="2"/>
    <n v="36500"/>
    <s v="UPI"/>
    <s v="Delivered"/>
    <n v="73000"/>
  </r>
  <r>
    <s v="ORD10082"/>
    <s v="CUST0382"/>
    <d v="2025-05-19T00:00:00"/>
    <s v="North"/>
    <s v="Delhi"/>
    <s v="Beauty"/>
    <x v="23"/>
    <n v="2"/>
    <n v="2750"/>
    <s v="Debit Card"/>
    <s v="Delivered"/>
    <n v="5500"/>
  </r>
  <r>
    <s v="ORD10083"/>
    <s v="CUST0386"/>
    <d v="2025-01-13T00:00:00"/>
    <s v="North"/>
    <s v="Delhi"/>
    <s v="Sports"/>
    <x v="6"/>
    <n v="1"/>
    <n v="4000"/>
    <s v="Credit Card"/>
    <s v="Delivered"/>
    <n v="4000"/>
  </r>
  <r>
    <s v="ORD10084"/>
    <s v="CUST0419"/>
    <d v="2025-04-04T00:00:00"/>
    <s v="South"/>
    <s v="Hyderabad"/>
    <s v="Fashion"/>
    <x v="2"/>
    <n v="1"/>
    <n v="400"/>
    <s v="Credit Card"/>
    <s v="Delivered"/>
    <n v="400"/>
  </r>
  <r>
    <s v="ORD10085"/>
    <s v="CUST0035"/>
    <d v="2025-01-01T00:00:00"/>
    <s v="East"/>
    <s v="Guwahati"/>
    <s v="Electronics"/>
    <x v="16"/>
    <n v="4"/>
    <n v="26950"/>
    <s v="Net Banking"/>
    <s v="Delivered"/>
    <n v="107800"/>
  </r>
  <r>
    <s v="ORD10086"/>
    <s v="CUST0165"/>
    <d v="2025-01-05T00:00:00"/>
    <s v="East"/>
    <s v="Guwahati"/>
    <s v="Beauty"/>
    <x v="23"/>
    <n v="2"/>
    <n v="4150"/>
    <s v="Debit Card"/>
    <s v="Shipped"/>
    <n v="8300"/>
  </r>
  <r>
    <s v="ORD10087"/>
    <s v="CUST0014"/>
    <d v="2025-10-15T00:00:00"/>
    <s v="East"/>
    <s v="Kolkata"/>
    <s v="Electronics"/>
    <x v="22"/>
    <n v="1"/>
    <n v="57100"/>
    <s v="Cash on Delivery"/>
    <s v="Delivered"/>
    <n v="57100"/>
  </r>
  <r>
    <s v="ORD10087"/>
    <s v="CUST0309"/>
    <d v="2025-04-14T00:00:00"/>
    <s v="West"/>
    <s v="Ahmedabad"/>
    <s v="Home &amp; Kitchen"/>
    <x v="18"/>
    <n v="1"/>
    <n v="5300"/>
    <s v="Credit Card"/>
    <s v="Delivered"/>
    <n v="5300"/>
  </r>
  <r>
    <s v="ORD10089"/>
    <s v="CUST0157"/>
    <d v="2025-10-16T00:00:00"/>
    <s v="North"/>
    <s v="Lucknow"/>
    <s v="Electronics"/>
    <x v="1"/>
    <n v="1"/>
    <n v="41050"/>
    <s v="UPI"/>
    <s v="Shipped"/>
    <n v="41050"/>
  </r>
  <r>
    <s v="ORD10090"/>
    <s v="CUST0196"/>
    <d v="2025-03-27T00:00:00"/>
    <s v="West"/>
    <s v="Pune"/>
    <s v="Fashion"/>
    <x v="12"/>
    <n v="2"/>
    <n v="6100"/>
    <s v="Debit Card"/>
    <s v="Delivered"/>
    <n v="12200"/>
  </r>
  <r>
    <s v="ORD10091"/>
    <s v="CUST0436"/>
    <d v="2025-07-03T00:00:00"/>
    <s v="East"/>
    <s v="Kolkata"/>
    <s v="Beauty"/>
    <x v="20"/>
    <n v="2"/>
    <n v="700"/>
    <s v="Credit Card"/>
    <s v="Delivered"/>
    <n v="1400"/>
  </r>
  <r>
    <s v="ORD10092"/>
    <s v="CUST0292"/>
    <d v="2025-10-09T00:00:00"/>
    <s v="North"/>
    <s v="Chandigarh"/>
    <s v="Fashion"/>
    <x v="21"/>
    <n v="2"/>
    <n v="5900"/>
    <s v="Debit Card"/>
    <s v="Delivered"/>
    <n v="11800"/>
  </r>
  <r>
    <s v="ORD10093"/>
    <s v="CUST0302"/>
    <d v="2025-12-29T00:00:00"/>
    <s v="East"/>
    <s v="Bhubaneswar"/>
    <s v="Electronics"/>
    <x v="16"/>
    <n v="2"/>
    <n v="59100"/>
    <s v="Credit Card"/>
    <s v="Delivered"/>
    <n v="118200"/>
  </r>
  <r>
    <s v="ORD10094"/>
    <s v="CUST0356"/>
    <d v="2025-11-20T00:00:00"/>
    <s v="South"/>
    <s v="Bengaluru"/>
    <s v="Electronics"/>
    <x v="16"/>
    <n v="1"/>
    <n v="40000"/>
    <s v="Cash on Delivery"/>
    <s v="Cancelled"/>
    <n v="40000"/>
  </r>
  <r>
    <s v="ORD10095"/>
    <s v="CUST0296"/>
    <d v="2025-10-24T00:00:00"/>
    <s v="West"/>
    <s v="Pune"/>
    <s v="Beauty"/>
    <x v="20"/>
    <n v="1"/>
    <n v="3900"/>
    <s v="UPI"/>
    <s v="Delivered"/>
    <n v="3900"/>
  </r>
  <r>
    <s v="ORD10096"/>
    <s v="CUST0438"/>
    <d v="2025-02-24T00:00:00"/>
    <s v="South"/>
    <s v="Hyderabad"/>
    <s v="Sports"/>
    <x v="19"/>
    <n v="1"/>
    <n v="2050"/>
    <s v="Cash on Delivery"/>
    <s v="Delivered"/>
    <n v="2050"/>
  </r>
  <r>
    <s v="ORD10097"/>
    <s v="CUST0063"/>
    <d v="2025-09-01T00:00:00"/>
    <s v="South"/>
    <s v="Hyderabad"/>
    <s v="Electronics"/>
    <x v="16"/>
    <n v="3"/>
    <n v="22250"/>
    <s v="UPI"/>
    <s v="Delivered"/>
    <n v="66750"/>
  </r>
  <r>
    <s v="ORD10098"/>
    <s v="CUST0364"/>
    <d v="2025-09-08T00:00:00"/>
    <s v="East"/>
    <s v="Patna"/>
    <s v="Fashion"/>
    <x v="12"/>
    <n v="2"/>
    <n v="3050"/>
    <s v="Credit Card"/>
    <s v="Delivered"/>
    <n v="6100"/>
  </r>
  <r>
    <s v="ORD10099"/>
    <s v="CUST0154"/>
    <d v="2025-06-05T00:00:00"/>
    <s v="North"/>
    <s v="Jaipur"/>
    <s v="Electronics"/>
    <x v="7"/>
    <n v="1"/>
    <n v="2900"/>
    <s v="Debit Card"/>
    <s v="Delivered"/>
    <n v="2900"/>
  </r>
  <r>
    <s v="ORD10100"/>
    <s v="CUST0360"/>
    <d v="2025-02-18T00:00:00"/>
    <s v="South"/>
    <s v="Vijayawada"/>
    <s v="Electronics"/>
    <x v="7"/>
    <n v="2"/>
    <n v="30200"/>
    <s v="Cash on Delivery"/>
    <s v="Delivered"/>
    <n v="60400"/>
  </r>
  <r>
    <s v="ORD10101"/>
    <s v="CUST0429"/>
    <d v="2025-10-13T00:00:00"/>
    <s v="North"/>
    <s v="Lucknow"/>
    <s v="Home &amp; Kitchen"/>
    <x v="0"/>
    <n v="3"/>
    <n v="2100"/>
    <s v="UPI"/>
    <s v="Delivered"/>
    <n v="6300"/>
  </r>
  <r>
    <s v="ORD10102"/>
    <s v="CUST0222"/>
    <d v="2025-06-15T00:00:00"/>
    <s v="South"/>
    <s v="Bengaluru"/>
    <s v="Sports"/>
    <x v="10"/>
    <n v="2"/>
    <n v="7300"/>
    <s v="Credit Card"/>
    <s v="Delivered"/>
    <n v="14600"/>
  </r>
  <r>
    <s v="ORD10103"/>
    <s v="CUST0162"/>
    <d v="2025-03-28T00:00:00"/>
    <s v="South"/>
    <s v="Hyderabad"/>
    <s v="Beauty"/>
    <x v="23"/>
    <n v="2"/>
    <n v="550"/>
    <s v="UPI"/>
    <s v="Cancelled"/>
    <n v="1100"/>
  </r>
  <r>
    <s v="ORD10104"/>
    <s v="CUST0328"/>
    <d v="2025-02-23T00:00:00"/>
    <s v="East"/>
    <s v="Guwahati"/>
    <s v="Sports"/>
    <x v="3"/>
    <n v="1"/>
    <n v="750"/>
    <s v="UPI"/>
    <s v="Delivered"/>
    <n v="750"/>
  </r>
  <r>
    <s v="ORD10105"/>
    <s v="CUST0288"/>
    <d v="2025-04-30T00:00:00"/>
    <s v="South"/>
    <s v="Hyderabad"/>
    <s v="Home &amp; Kitchen"/>
    <x v="0"/>
    <n v="2"/>
    <n v="5100"/>
    <s v="Cash on Delivery"/>
    <s v="Returned"/>
    <n v="10200"/>
  </r>
  <r>
    <s v="ORD10106"/>
    <s v="CUST0263"/>
    <d v="2025-06-10T00:00:00"/>
    <s v="East"/>
    <s v="Bhubaneswar"/>
    <s v="Beauty"/>
    <x v="23"/>
    <n v="1"/>
    <n v="1200"/>
    <s v="Cash on Delivery"/>
    <s v="Delivered"/>
    <n v="1200"/>
  </r>
  <r>
    <s v="ORD10107"/>
    <s v="CUST0404"/>
    <d v="2025-01-11T00:00:00"/>
    <s v="South"/>
    <s v="Chennai"/>
    <s v="Electronics"/>
    <x v="1"/>
    <n v="1"/>
    <n v="38200"/>
    <s v="Cash on Delivery"/>
    <s v="Shipped"/>
    <n v="38200"/>
  </r>
  <r>
    <s v="ORD10108"/>
    <s v="CUST0226"/>
    <d v="2025-02-22T00:00:00"/>
    <s v="South"/>
    <s v="Chennai"/>
    <s v="Electronics"/>
    <x v="22"/>
    <n v="2"/>
    <n v="17950"/>
    <s v="Credit Card"/>
    <s v="Delivered"/>
    <n v="35900"/>
  </r>
  <r>
    <s v="ORD10109"/>
    <s v="CUST0128"/>
    <d v="2025-08-12T00:00:00"/>
    <s v="East"/>
    <s v="Guwahati"/>
    <s v="Home &amp; Kitchen"/>
    <x v="15"/>
    <n v="3"/>
    <n v="1500"/>
    <s v="Credit Card"/>
    <s v="Cancelled"/>
    <n v="4500"/>
  </r>
  <r>
    <s v="ORD10110"/>
    <s v="CUST0235"/>
    <d v="2025-01-04T00:00:00"/>
    <s v="North"/>
    <s v="Delhi"/>
    <s v="Home &amp; Kitchen"/>
    <x v="9"/>
    <n v="2"/>
    <n v="5000"/>
    <s v="UPI"/>
    <s v="Delivered"/>
    <n v="10000"/>
  </r>
  <r>
    <s v="ORD10111"/>
    <s v="CUST0041"/>
    <d v="2025-02-03T00:00:00"/>
    <s v="South"/>
    <s v="Chennai"/>
    <s v="Electronics"/>
    <x v="16"/>
    <n v="3"/>
    <n v="44650"/>
    <s v="Credit Card"/>
    <s v="Shipped"/>
    <n v="133950"/>
  </r>
  <r>
    <s v="ORD10112"/>
    <s v="CUST0134"/>
    <d v="2025-08-07T00:00:00"/>
    <s v="North"/>
    <s v="Chandigarh"/>
    <s v="Fashion"/>
    <x v="13"/>
    <n v="1"/>
    <n v="1950"/>
    <s v="UPI"/>
    <s v="Cancelled"/>
    <n v="1950"/>
  </r>
  <r>
    <s v="ORD10113"/>
    <s v="CUST0122"/>
    <d v="2025-02-15T00:00:00"/>
    <s v="West"/>
    <s v="Mumbai"/>
    <s v="Fashion"/>
    <x v="2"/>
    <n v="4"/>
    <n v="1750"/>
    <s v="Credit Card"/>
    <s v="Delivered"/>
    <n v="7000"/>
  </r>
  <r>
    <s v="ORD10114"/>
    <s v="CUST0296"/>
    <d v="2025-01-11T00:00:00"/>
    <s v="East"/>
    <s v="Kolkata"/>
    <s v="Electronics"/>
    <x v="17"/>
    <n v="2"/>
    <n v="6000"/>
    <s v="UPI"/>
    <s v="Delivered"/>
    <n v="12000"/>
  </r>
  <r>
    <s v="ORD10115"/>
    <s v="CUST0069"/>
    <d v="2025-11-08T00:00:00"/>
    <s v="West"/>
    <s v="Surat"/>
    <s v="Home &amp; Kitchen"/>
    <x v="18"/>
    <n v="1"/>
    <n v="5200"/>
    <s v="Debit Card"/>
    <s v="Cancelled"/>
    <n v="5200"/>
  </r>
  <r>
    <s v="ORD10116"/>
    <s v="CUST0201"/>
    <d v="2025-06-03T00:00:00"/>
    <s v="North"/>
    <s v="Lucknow"/>
    <s v="Electronics"/>
    <x v="17"/>
    <n v="1"/>
    <n v="38950"/>
    <s v="Credit Card"/>
    <s v="Delivered"/>
    <n v="38950"/>
  </r>
  <r>
    <s v="ORD10117"/>
    <s v="CUST0291"/>
    <d v="2025-05-11T00:00:00"/>
    <s v="South"/>
    <s v="Hyderabad"/>
    <s v="Home &amp; Kitchen"/>
    <x v="18"/>
    <n v="2"/>
    <n v="3850"/>
    <s v="Credit Card"/>
    <s v="Delivered"/>
    <n v="7700"/>
  </r>
  <r>
    <s v="ORD10118"/>
    <s v="CUST0305"/>
    <d v="2025-01-17T00:00:00"/>
    <s v="West"/>
    <s v="Pune"/>
    <s v="Electronics"/>
    <x v="17"/>
    <n v="1"/>
    <n v="1050"/>
    <s v="UPI"/>
    <s v="Shipped"/>
    <n v="1050"/>
  </r>
  <r>
    <s v="ORD10119"/>
    <s v="CUST0374"/>
    <d v="2025-07-17T00:00:00"/>
    <s v="South"/>
    <s v="Bengaluru"/>
    <s v="Sports"/>
    <x v="19"/>
    <n v="2"/>
    <n v="9600"/>
    <s v="Debit Card"/>
    <s v="Delivered"/>
    <n v="19200"/>
  </r>
  <r>
    <s v="ORD10120"/>
    <s v="CUST0016"/>
    <d v="2025-07-18T00:00:00"/>
    <s v="North"/>
    <s v="Lucknow"/>
    <s v="Sports"/>
    <x v="3"/>
    <n v="1"/>
    <n v="7100"/>
    <s v="Debit Card"/>
    <s v="Delivered"/>
    <n v="7100"/>
  </r>
  <r>
    <s v="ORD10121"/>
    <s v="CUST0328"/>
    <d v="2025-11-11T00:00:00"/>
    <s v="North"/>
    <s v="Jaipur"/>
    <s v="Sports"/>
    <x v="3"/>
    <n v="1"/>
    <n v="3450"/>
    <s v="Debit Card"/>
    <s v="Delivered"/>
    <n v="3450"/>
  </r>
  <r>
    <s v="ORD10122"/>
    <s v="CUST0159"/>
    <d v="2025-06-01T00:00:00"/>
    <s v="West"/>
    <s v="Surat"/>
    <s v="Sports"/>
    <x v="3"/>
    <n v="1"/>
    <n v="8500"/>
    <s v="Cash on Delivery"/>
    <s v="Delivered"/>
    <n v="8500"/>
  </r>
  <r>
    <s v="ORD10123"/>
    <s v="CUST0015"/>
    <d v="2025-01-04T00:00:00"/>
    <s v="North"/>
    <s v="Visakhapatnam"/>
    <s v="Electronics"/>
    <x v="17"/>
    <n v="1"/>
    <n v="45450"/>
    <s v="Debit Card"/>
    <s v="Delivered"/>
    <n v="45450"/>
  </r>
  <r>
    <s v="ORD10123"/>
    <s v="CUST0170"/>
    <d v="2025-02-03T00:00:00"/>
    <s v="West"/>
    <s v="Mumbai"/>
    <s v="Beauty"/>
    <x v="14"/>
    <n v="2"/>
    <n v="4450"/>
    <s v="UPI"/>
    <s v="Delivered"/>
    <n v="8900"/>
  </r>
  <r>
    <s v="ORD10125"/>
    <s v="CUST0318"/>
    <d v="2025-09-02T00:00:00"/>
    <s v="North"/>
    <s v="Chandigarh"/>
    <s v="Electronics"/>
    <x v="16"/>
    <n v="1"/>
    <n v="60650"/>
    <s v="UPI"/>
    <s v="Delivered"/>
    <n v="60650"/>
  </r>
  <r>
    <s v="ORD10125"/>
    <s v="CUST0177"/>
    <d v="2025-01-03T00:00:00"/>
    <s v="East"/>
    <s v="Bhubaneswar"/>
    <s v="Home &amp; Kitchen"/>
    <x v="15"/>
    <n v="1"/>
    <n v="1050"/>
    <s v="Credit Card"/>
    <s v="Delivered"/>
    <n v="1050"/>
  </r>
  <r>
    <s v="ORD10127"/>
    <s v="CUST0399"/>
    <d v="2025-11-01T00:00:00"/>
    <s v="South"/>
    <s v="Bengaluru"/>
    <s v="Home &amp; Kitchen"/>
    <x v="5"/>
    <n v="1"/>
    <n v="5400"/>
    <s v="Cash on Delivery"/>
    <s v="Delivered"/>
    <n v="5400"/>
  </r>
  <r>
    <s v="ORD10128"/>
    <s v="CUST0319"/>
    <d v="2025-10-29T00:00:00"/>
    <s v="South"/>
    <s v="Bengaluru"/>
    <s v="Home &amp; Kitchen"/>
    <x v="15"/>
    <n v="1"/>
    <n v="7250"/>
    <s v="Credit Card"/>
    <s v="Returned"/>
    <n v="7250"/>
  </r>
  <r>
    <s v="ORD10129"/>
    <s v="CUST0373"/>
    <d v="2025-08-31T00:00:00"/>
    <s v="East"/>
    <s v="Patna"/>
    <s v="Fashion"/>
    <x v="21"/>
    <n v="1"/>
    <n v="7950"/>
    <s v="Net Banking"/>
    <s v="Delivered"/>
    <n v="7950"/>
  </r>
  <r>
    <s v="ORD10130"/>
    <s v="CUST0261"/>
    <d v="2025-02-23T00:00:00"/>
    <s v="South"/>
    <s v="Hyderabad"/>
    <s v="Fashion"/>
    <x v="11"/>
    <n v="1"/>
    <n v="2100"/>
    <s v="Debit Card"/>
    <s v="Delivered"/>
    <n v="2100"/>
  </r>
  <r>
    <s v="ORD10131"/>
    <s v="CUST0062"/>
    <d v="2025-05-25T00:00:00"/>
    <s v="North"/>
    <s v="Chandigarh"/>
    <s v="Sports"/>
    <x v="19"/>
    <n v="1"/>
    <n v="9950"/>
    <s v="Credit Card"/>
    <s v="Delivered"/>
    <n v="9950"/>
  </r>
  <r>
    <s v="ORD10132"/>
    <s v="CUST0267"/>
    <d v="2025-04-15T00:00:00"/>
    <s v="South"/>
    <s v="Vijayawada"/>
    <s v="Electronics"/>
    <x v="1"/>
    <n v="1"/>
    <n v="48800"/>
    <s v="Cash on Delivery"/>
    <s v="Shipped"/>
    <n v="48800"/>
  </r>
  <r>
    <s v="ORD10133"/>
    <s v="CUST0025"/>
    <d v="2025-09-18T00:00:00"/>
    <s v="South"/>
    <s v="Hyderabad"/>
    <s v="Home &amp; Kitchen"/>
    <x v="9"/>
    <n v="3"/>
    <n v="650"/>
    <s v="UPI"/>
    <s v="Delivered"/>
    <n v="1950"/>
  </r>
  <r>
    <s v="ORD10134"/>
    <s v="CUST0037"/>
    <d v="2025-11-12T00:00:00"/>
    <s v="North"/>
    <s v="Lucknow"/>
    <s v="Beauty"/>
    <x v="24"/>
    <n v="2"/>
    <n v="200"/>
    <s v="UPI"/>
    <s v="Delivered"/>
    <n v="400"/>
  </r>
  <r>
    <s v="ORD10135"/>
    <s v="CUST0323"/>
    <d v="2025-02-25T00:00:00"/>
    <s v="South"/>
    <s v="Hyderabad"/>
    <s v="Electronics"/>
    <x v="17"/>
    <n v="3"/>
    <n v="4650"/>
    <s v="Credit Card"/>
    <s v="Cancelled"/>
    <n v="13950"/>
  </r>
  <r>
    <s v="ORD10136"/>
    <s v="CUST0059"/>
    <d v="2025-10-31T00:00:00"/>
    <s v="East"/>
    <s v="Kolkata"/>
    <s v="Fashion"/>
    <x v="12"/>
    <n v="3"/>
    <n v="7100"/>
    <s v="Debit Card"/>
    <s v="Shipped"/>
    <n v="21300"/>
  </r>
  <r>
    <s v="ORD10137"/>
    <s v="CUST0235"/>
    <d v="2025-02-14T00:00:00"/>
    <s v="South"/>
    <s v="Hyderabad"/>
    <s v="Beauty"/>
    <x v="8"/>
    <n v="2"/>
    <n v="3450"/>
    <s v="Debit Card"/>
    <s v="Delivered"/>
    <n v="6900"/>
  </r>
  <r>
    <s v="ORD10138"/>
    <s v="CUST0356"/>
    <d v="2025-09-15T00:00:00"/>
    <s v="East"/>
    <s v="Bhubaneswar"/>
    <s v="Sports"/>
    <x v="10"/>
    <n v="1"/>
    <n v="1700"/>
    <s v="Debit Card"/>
    <s v="Delivered"/>
    <n v="1700"/>
  </r>
  <r>
    <s v="ORD10139"/>
    <s v="CUST0223"/>
    <d v="2025-12-20T00:00:00"/>
    <s v="South"/>
    <s v="Bengaluru"/>
    <s v="Sports"/>
    <x v="6"/>
    <n v="2"/>
    <n v="3250"/>
    <s v="Net Banking"/>
    <s v="Delivered"/>
    <n v="6500"/>
  </r>
  <r>
    <s v="ORD10140"/>
    <s v="CUST0412"/>
    <d v="2025-03-01T00:00:00"/>
    <s v="West"/>
    <s v="Pune"/>
    <s v="Fashion"/>
    <x v="21"/>
    <n v="1"/>
    <n v="2550"/>
    <s v="Credit Card"/>
    <s v="Shipped"/>
    <n v="2550"/>
  </r>
  <r>
    <s v="ORD10141"/>
    <s v="CUST0012"/>
    <d v="2025-07-12T00:00:00"/>
    <s v="South"/>
    <s v="Vijayawada"/>
    <s v="Electronics"/>
    <x v="16"/>
    <n v="3"/>
    <n v="11850"/>
    <s v="Net Banking"/>
    <s v="Delivered"/>
    <n v="35550"/>
  </r>
  <r>
    <s v="ORD10142"/>
    <s v="CUST0381"/>
    <d v="2025-01-07T00:00:00"/>
    <s v="East"/>
    <s v="Bhubaneswar"/>
    <s v="Electronics"/>
    <x v="1"/>
    <n v="4"/>
    <n v="63300"/>
    <s v="Debit Card"/>
    <s v="Delivered"/>
    <n v="253200"/>
  </r>
  <r>
    <s v="ORD10143"/>
    <s v="CUST0226"/>
    <d v="2025-10-12T00:00:00"/>
    <s v="South"/>
    <s v="Chennai"/>
    <s v="Electronics"/>
    <x v="7"/>
    <n v="1"/>
    <n v="53350"/>
    <s v="UPI"/>
    <s v="Delivered"/>
    <n v="53350"/>
  </r>
  <r>
    <s v="ORD10144"/>
    <s v="CUST0175"/>
    <d v="2025-03-25T00:00:00"/>
    <s v="North"/>
    <s v="Lucknow"/>
    <s v="Sports"/>
    <x v="10"/>
    <n v="3"/>
    <n v="5500"/>
    <s v="UPI"/>
    <s v="Shipped"/>
    <n v="16500"/>
  </r>
  <r>
    <s v="ORD10145"/>
    <s v="CUST0443"/>
    <d v="2025-03-25T00:00:00"/>
    <s v="East"/>
    <s v="Bhubaneswar"/>
    <s v="Fashion"/>
    <x v="12"/>
    <n v="1"/>
    <n v="1550"/>
    <s v="Net Banking"/>
    <s v="Delivered"/>
    <n v="1550"/>
  </r>
  <r>
    <s v="ORD10146"/>
    <s v="CUST0320"/>
    <d v="2025-10-08T00:00:00"/>
    <s v="North"/>
    <s v="Lucknow"/>
    <s v="Home &amp; Kitchen"/>
    <x v="18"/>
    <n v="3"/>
    <n v="3850"/>
    <s v="UPI"/>
    <s v="Delivered"/>
    <n v="11550"/>
  </r>
  <r>
    <s v="ORD10147"/>
    <s v="CUST0008"/>
    <d v="2025-03-20T00:00:00"/>
    <s v="East"/>
    <s v="Guwahati"/>
    <s v="Beauty"/>
    <x v="24"/>
    <n v="1"/>
    <n v="2800"/>
    <s v="UPI"/>
    <s v="Delivered"/>
    <n v="2800"/>
  </r>
  <r>
    <s v="ORD10148"/>
    <s v="CUST0404"/>
    <d v="2025-02-15T00:00:00"/>
    <s v="West"/>
    <s v="Ahmedabad"/>
    <s v="Home &amp; Kitchen"/>
    <x v="5"/>
    <n v="1"/>
    <n v="7200"/>
    <s v="Cash on Delivery"/>
    <s v="Returned"/>
    <n v="7200"/>
  </r>
  <r>
    <s v="ORD10149"/>
    <s v="CUST0117"/>
    <d v="2025-12-10T00:00:00"/>
    <s v="West"/>
    <s v="Surat"/>
    <s v="Home &amp; Kitchen"/>
    <x v="18"/>
    <n v="1"/>
    <n v="4000"/>
    <s v="Credit Card"/>
    <s v="Delivered"/>
    <n v="4000"/>
  </r>
  <r>
    <s v="ORD10150"/>
    <s v="CUST0032"/>
    <d v="2025-01-11T00:00:00"/>
    <s v="South"/>
    <s v="Hyderabad"/>
    <s v="Home &amp; Kitchen"/>
    <x v="0"/>
    <n v="1"/>
    <n v="900"/>
    <s v="Credit Card"/>
    <s v="Delivered"/>
    <n v="900"/>
  </r>
  <r>
    <s v="ORD10151"/>
    <s v="CUST0377"/>
    <d v="2025-02-15T00:00:00"/>
    <s v="East"/>
    <s v="Kolkata"/>
    <s v="Fashion"/>
    <x v="13"/>
    <n v="2"/>
    <n v="700"/>
    <s v="UPI"/>
    <s v="Delivered"/>
    <n v="1400"/>
  </r>
  <r>
    <s v="ORD10152"/>
    <s v="CUST0233"/>
    <d v="2025-03-18T00:00:00"/>
    <s v="West"/>
    <s v="Pune"/>
    <s v="Electronics"/>
    <x v="17"/>
    <n v="4"/>
    <n v="50600"/>
    <s v="UPI"/>
    <s v="Delivered"/>
    <n v="202400"/>
  </r>
  <r>
    <s v="ORD10153"/>
    <s v="CUST0305"/>
    <d v="2025-12-26T00:00:00"/>
    <s v="East"/>
    <s v="Bhubaneswar"/>
    <s v="Electronics"/>
    <x v="22"/>
    <n v="3"/>
    <n v="45050"/>
    <s v="UPI"/>
    <s v="Delivered"/>
    <n v="135150"/>
  </r>
  <r>
    <s v="ORD10154"/>
    <s v="CUST0264"/>
    <d v="2025-11-24T00:00:00"/>
    <s v="East"/>
    <s v="Kolkata"/>
    <s v="Fashion"/>
    <x v="12"/>
    <n v="1"/>
    <n v="7500"/>
    <s v="Credit Card"/>
    <s v="Delivered"/>
    <n v="7500"/>
  </r>
  <r>
    <s v="ORD10155"/>
    <s v="CUST0022"/>
    <d v="2025-01-03T00:00:00"/>
    <s v="South"/>
    <s v="Chennai"/>
    <s v="Beauty"/>
    <x v="23"/>
    <n v="2"/>
    <n v="2550"/>
    <s v="Credit Card"/>
    <s v="Delivered"/>
    <n v="5100"/>
  </r>
  <r>
    <s v="ORD10156"/>
    <s v="CUST0243"/>
    <d v="2025-05-02T00:00:00"/>
    <s v="West"/>
    <s v="Ahmedabad"/>
    <s v="Electronics"/>
    <x v="17"/>
    <n v="2"/>
    <n v="47300"/>
    <s v="Debit Card"/>
    <s v="Delivered"/>
    <n v="94600"/>
  </r>
  <r>
    <s v="ORD10157"/>
    <s v="CUST0402"/>
    <d v="2025-07-30T00:00:00"/>
    <s v="West"/>
    <s v="Mumbai"/>
    <s v="Home &amp; Kitchen"/>
    <x v="15"/>
    <n v="2"/>
    <n v="7150"/>
    <s v="Credit Card"/>
    <s v="Delivered"/>
    <n v="14300"/>
  </r>
  <r>
    <s v="ORD10158"/>
    <s v="CUST0353"/>
    <d v="2025-11-28T00:00:00"/>
    <s v="North"/>
    <s v="Chandigarh"/>
    <s v="Electronics"/>
    <x v="7"/>
    <n v="2"/>
    <n v="13550"/>
    <s v="UPI"/>
    <s v="Delivered"/>
    <n v="27100"/>
  </r>
  <r>
    <s v="ORD10159"/>
    <s v="CUST0444"/>
    <d v="2025-06-01T00:00:00"/>
    <s v="West"/>
    <s v="Mumbai"/>
    <s v="Electronics"/>
    <x v="16"/>
    <n v="2"/>
    <n v="55100"/>
    <s v="Debit Card"/>
    <s v="Delivered"/>
    <n v="110200"/>
  </r>
  <r>
    <s v="ORD10160"/>
    <s v="CUST0420"/>
    <d v="2025-09-19T00:00:00"/>
    <s v="North"/>
    <s v="Chandigarh"/>
    <s v="Fashion"/>
    <x v="12"/>
    <n v="1"/>
    <n v="600"/>
    <s v="Debit Card"/>
    <s v="Delivered"/>
    <n v="600"/>
  </r>
  <r>
    <s v="ORD10161"/>
    <s v="CUST0225"/>
    <d v="2025-12-21T00:00:00"/>
    <s v="West"/>
    <s v="Pune"/>
    <s v="Fashion"/>
    <x v="12"/>
    <n v="1"/>
    <n v="3150"/>
    <s v="Credit Card"/>
    <s v="Shipped"/>
    <n v="3150"/>
  </r>
  <r>
    <s v="ORD10162"/>
    <s v="CUST0422"/>
    <d v="2025-02-10T00:00:00"/>
    <s v="East"/>
    <s v="Patna"/>
    <s v="Beauty"/>
    <x v="23"/>
    <n v="1"/>
    <n v="3250"/>
    <s v="Credit Card"/>
    <s v="Delivered"/>
    <n v="3250"/>
  </r>
  <r>
    <s v="ORD10163"/>
    <s v="CUST0379"/>
    <d v="2025-12-11T00:00:00"/>
    <s v="North"/>
    <s v="Jaipur"/>
    <s v="Electronics"/>
    <x v="17"/>
    <n v="1"/>
    <n v="33800"/>
    <s v="Credit Card"/>
    <s v="Delivered"/>
    <n v="33800"/>
  </r>
  <r>
    <s v="ORD10164"/>
    <s v="CUST0303"/>
    <d v="2025-10-14T00:00:00"/>
    <s v="East"/>
    <s v="Kolkata"/>
    <s v="Sports"/>
    <x v="3"/>
    <n v="3"/>
    <n v="3600"/>
    <s v="UPI"/>
    <s v="Returned"/>
    <n v="10800"/>
  </r>
  <r>
    <s v="ORD10165"/>
    <s v="CUST0276"/>
    <d v="2025-09-21T00:00:00"/>
    <s v="North"/>
    <s v="Chandigarh"/>
    <s v="Electronics"/>
    <x v="1"/>
    <n v="1"/>
    <n v="34100"/>
    <s v="Cash on Delivery"/>
    <s v="Delivered"/>
    <n v="34100"/>
  </r>
  <r>
    <s v="ORD10166"/>
    <s v="CUST0165"/>
    <d v="2025-11-01T00:00:00"/>
    <s v="South"/>
    <s v="Bengaluru"/>
    <s v="Fashion"/>
    <x v="13"/>
    <n v="1"/>
    <n v="1650"/>
    <s v="Debit Card"/>
    <s v="Delivered"/>
    <n v="1650"/>
  </r>
  <r>
    <s v="ORD10167"/>
    <s v="CUST0130"/>
    <d v="2025-10-20T00:00:00"/>
    <s v="North"/>
    <s v="Lucknow"/>
    <s v="Sports"/>
    <x v="4"/>
    <n v="1"/>
    <n v="8750"/>
    <s v="UPI"/>
    <s v="Delivered"/>
    <n v="8750"/>
  </r>
  <r>
    <s v="ORD10168"/>
    <s v="CUST0206"/>
    <d v="2025-01-12T00:00:00"/>
    <s v="West"/>
    <s v="Ahmedabad"/>
    <s v="Sports"/>
    <x v="6"/>
    <n v="4"/>
    <n v="4800"/>
    <s v="UPI"/>
    <s v="Delivered"/>
    <n v="19200"/>
  </r>
  <r>
    <s v="ORD10169"/>
    <s v="CUST0223"/>
    <d v="2025-07-03T00:00:00"/>
    <s v="North"/>
    <s v="Lucknow"/>
    <s v="Electronics"/>
    <x v="16"/>
    <n v="4"/>
    <n v="1000"/>
    <s v="Debit Card"/>
    <s v="Shipped"/>
    <n v="4000"/>
  </r>
  <r>
    <s v="ORD10170"/>
    <s v="CUST0234"/>
    <d v="2025-01-08T00:00:00"/>
    <s v="South"/>
    <s v="Bengaluru"/>
    <s v="Fashion"/>
    <x v="11"/>
    <n v="1"/>
    <n v="1450"/>
    <s v="UPI"/>
    <s v="Delivered"/>
    <n v="1450"/>
  </r>
  <r>
    <s v="ORD10171"/>
    <s v="CUST0311"/>
    <d v="2025-04-29T00:00:00"/>
    <s v="West"/>
    <s v="Mumbai"/>
    <s v="Sports"/>
    <x v="19"/>
    <n v="3"/>
    <n v="4700"/>
    <s v="UPI"/>
    <s v="Delivered"/>
    <n v="14100"/>
  </r>
  <r>
    <s v="ORD10172"/>
    <s v="CUST0328"/>
    <d v="2025-12-11T00:00:00"/>
    <s v="South"/>
    <s v="Bengaluru"/>
    <s v="Sports"/>
    <x v="3"/>
    <n v="3"/>
    <n v="6350"/>
    <s v="Credit Card"/>
    <s v="Delivered"/>
    <n v="19050"/>
  </r>
  <r>
    <s v="ORD10173"/>
    <s v="CUST0220"/>
    <d v="2025-07-11T00:00:00"/>
    <s v="West"/>
    <s v="Ahmedabad"/>
    <s v="Fashion"/>
    <x v="13"/>
    <n v="1"/>
    <n v="5400"/>
    <s v="Debit Card"/>
    <s v="Delivered"/>
    <n v="5400"/>
  </r>
  <r>
    <s v="ORD10174"/>
    <s v="CUST0324"/>
    <d v="2025-04-08T00:00:00"/>
    <s v="East"/>
    <s v="Kolkata"/>
    <s v="Electronics"/>
    <x v="7"/>
    <n v="3"/>
    <n v="56700"/>
    <s v="Credit Card"/>
    <s v="Delivered"/>
    <n v="170100"/>
  </r>
  <r>
    <s v="ORD10175"/>
    <s v="CUST0129"/>
    <d v="2025-12-10T00:00:00"/>
    <s v="West"/>
    <s v="Pune"/>
    <s v="Home &amp; Kitchen"/>
    <x v="15"/>
    <n v="3"/>
    <n v="8150"/>
    <s v="UPI"/>
    <s v="Shipped"/>
    <n v="24450"/>
  </r>
  <r>
    <s v="ORD10176"/>
    <s v="CUST0417"/>
    <d v="2025-11-01T00:00:00"/>
    <s v="South"/>
    <s v="Hyderabad"/>
    <s v="Home &amp; Kitchen"/>
    <x v="18"/>
    <n v="1"/>
    <n v="3450"/>
    <s v="Debit Card"/>
    <s v="Delivered"/>
    <n v="3450"/>
  </r>
  <r>
    <s v="ORD10177"/>
    <s v="CUST0265"/>
    <d v="2025-01-03T00:00:00"/>
    <s v="South"/>
    <s v="Bengaluru"/>
    <s v="Fashion"/>
    <x v="12"/>
    <n v="1"/>
    <n v="4850"/>
    <s v="Debit Card"/>
    <s v="Delivered"/>
    <n v="4850"/>
  </r>
  <r>
    <s v="ORD10178"/>
    <s v="CUST0300"/>
    <d v="2025-08-16T00:00:00"/>
    <s v="North"/>
    <s v="Delhi"/>
    <s v="Fashion"/>
    <x v="11"/>
    <n v="1"/>
    <n v="6600"/>
    <s v="UPI"/>
    <s v="Delivered"/>
    <n v="6600"/>
  </r>
  <r>
    <s v="ORD10179"/>
    <s v="CUST0124"/>
    <d v="2025-10-08T00:00:00"/>
    <s v="West"/>
    <s v="Ahmedabad"/>
    <s v="Fashion"/>
    <x v="11"/>
    <n v="1"/>
    <n v="550"/>
    <s v="UPI"/>
    <s v="Delivered"/>
    <n v="550"/>
  </r>
  <r>
    <s v="ORD10180"/>
    <s v="CUST0373"/>
    <d v="2025-02-21T00:00:00"/>
    <s v="South"/>
    <s v="Hyderabad"/>
    <s v="Fashion"/>
    <x v="12"/>
    <n v="1"/>
    <n v="4050"/>
    <s v="UPI"/>
    <s v="Delivered"/>
    <n v="4050"/>
  </r>
  <r>
    <s v="ORD10181"/>
    <s v="CUST0077"/>
    <d v="2025-05-12T00:00:00"/>
    <s v="West"/>
    <s v="Ahmedabad"/>
    <s v="Fashion"/>
    <x v="21"/>
    <n v="1"/>
    <n v="4800"/>
    <s v="Debit Card"/>
    <s v="Delivered"/>
    <n v="4800"/>
  </r>
  <r>
    <s v="ORD10182"/>
    <s v="CUST0426"/>
    <d v="2025-10-25T00:00:00"/>
    <s v="South"/>
    <s v="Vijayawada"/>
    <s v="Sports"/>
    <x v="10"/>
    <n v="2"/>
    <n v="2200"/>
    <s v="Debit Card"/>
    <s v="Delivered"/>
    <n v="4400"/>
  </r>
  <r>
    <s v="ORD10183"/>
    <s v="CUST0141"/>
    <d v="2025-04-28T00:00:00"/>
    <s v="North"/>
    <s v="Lucknow"/>
    <s v="Sports"/>
    <x v="4"/>
    <n v="1"/>
    <n v="8250"/>
    <s v="Credit Card"/>
    <s v="Delivered"/>
    <n v="8250"/>
  </r>
  <r>
    <s v="ORD10184"/>
    <s v="CUST0152"/>
    <d v="2025-07-27T00:00:00"/>
    <s v="South"/>
    <s v="Hyderabad"/>
    <s v="Fashion"/>
    <x v="2"/>
    <n v="1"/>
    <n v="5300"/>
    <s v="Credit Card"/>
    <s v="Cancelled"/>
    <n v="5300"/>
  </r>
  <r>
    <s v="ORD10185"/>
    <s v="CUST0403"/>
    <d v="2025-06-13T00:00:00"/>
    <s v="West"/>
    <s v="Pune"/>
    <s v="Fashion"/>
    <x v="12"/>
    <n v="3"/>
    <n v="5950"/>
    <s v="Debit Card"/>
    <s v="Shipped"/>
    <n v="17850"/>
  </r>
  <r>
    <s v="ORD10186"/>
    <s v="CUST0432"/>
    <d v="2025-10-20T00:00:00"/>
    <s v="South"/>
    <s v="Hyderabad"/>
    <s v="Electronics"/>
    <x v="22"/>
    <n v="3"/>
    <n v="48100"/>
    <s v="UPI"/>
    <s v="Delivered"/>
    <n v="144300"/>
  </r>
  <r>
    <s v="ORD10187"/>
    <s v="CUST0258"/>
    <d v="2025-11-16T00:00:00"/>
    <s v="South"/>
    <s v="Chennai"/>
    <s v="Fashion"/>
    <x v="2"/>
    <n v="1"/>
    <n v="2150"/>
    <s v="Credit Card"/>
    <s v="Delivered"/>
    <n v="2150"/>
  </r>
  <r>
    <s v="ORD10188"/>
    <s v="CUST0188"/>
    <d v="2025-10-29T00:00:00"/>
    <s v="West"/>
    <s v="Pune"/>
    <s v="Electronics"/>
    <x v="16"/>
    <n v="2"/>
    <n v="28250"/>
    <s v="Debit Card"/>
    <s v="Returned"/>
    <n v="56500"/>
  </r>
  <r>
    <s v="ORD10189"/>
    <s v="CUST0387"/>
    <d v="2025-03-14T00:00:00"/>
    <s v="South"/>
    <s v="Vijayawada"/>
    <s v="Electronics"/>
    <x v="22"/>
    <n v="1"/>
    <n v="18350"/>
    <s v="UPI"/>
    <s v="Cancelled"/>
    <n v="18350"/>
  </r>
  <r>
    <s v="ORD10190"/>
    <s v="CUST0027"/>
    <d v="2025-06-09T00:00:00"/>
    <s v="South"/>
    <s v="Chennai"/>
    <s v="Home &amp; Kitchen"/>
    <x v="9"/>
    <n v="2"/>
    <n v="850"/>
    <s v="UPI"/>
    <s v="Shipped"/>
    <n v="1700"/>
  </r>
  <r>
    <s v="ORD10191"/>
    <s v="CUST0258"/>
    <d v="2025-04-12T00:00:00"/>
    <s v="West"/>
    <s v="Surat"/>
    <s v="Fashion"/>
    <x v="11"/>
    <n v="1"/>
    <n v="2850"/>
    <s v="Debit Card"/>
    <s v="Returned"/>
    <n v="2850"/>
  </r>
  <r>
    <s v="ORD10192"/>
    <s v="CUST0287"/>
    <d v="2025-10-30T00:00:00"/>
    <s v="North"/>
    <s v="Chandigarh"/>
    <s v="Fashion"/>
    <x v="11"/>
    <n v="2"/>
    <n v="850"/>
    <s v="Net Banking"/>
    <s v="Delivered"/>
    <n v="1700"/>
  </r>
  <r>
    <s v="ORD10193"/>
    <s v="CUST0003"/>
    <d v="2025-05-24T00:00:00"/>
    <s v="South"/>
    <s v="Hyderabad"/>
    <s v="Electronics"/>
    <x v="22"/>
    <n v="1"/>
    <n v="53550"/>
    <s v="UPI"/>
    <s v="Returned"/>
    <n v="53550"/>
  </r>
  <r>
    <s v="ORD10194"/>
    <s v="CUST0149"/>
    <d v="2025-03-25T00:00:00"/>
    <s v="East"/>
    <s v="Bhubaneswar"/>
    <s v="Home &amp; Kitchen"/>
    <x v="15"/>
    <n v="4"/>
    <n v="8950"/>
    <s v="Credit Card"/>
    <s v="Shipped"/>
    <n v="35800"/>
  </r>
  <r>
    <s v="ORD10195"/>
    <s v="CUST0142"/>
    <d v="2025-10-19T00:00:00"/>
    <s v="West"/>
    <s v="Surat"/>
    <s v="Fashion"/>
    <x v="11"/>
    <n v="3"/>
    <n v="1350"/>
    <s v="Debit Card"/>
    <s v="Delivered"/>
    <n v="4050"/>
  </r>
  <r>
    <s v="ORD10196"/>
    <s v="CUST0180"/>
    <d v="2025-07-09T00:00:00"/>
    <s v="South"/>
    <s v="Hyderabad"/>
    <s v="Home &amp; Kitchen"/>
    <x v="5"/>
    <n v="4"/>
    <n v="1000"/>
    <s v="Credit Card"/>
    <s v="Delivered"/>
    <n v="4000"/>
  </r>
  <r>
    <s v="ORD10197"/>
    <s v="CUST0012"/>
    <d v="2025-08-27T00:00:00"/>
    <s v="East"/>
    <s v="Bhubaneswar"/>
    <s v="Home &amp; Kitchen"/>
    <x v="15"/>
    <n v="2"/>
    <n v="8300"/>
    <s v="Net Banking"/>
    <s v="Shipped"/>
    <n v="16600"/>
  </r>
  <r>
    <s v="ORD10198"/>
    <s v="CUST0436"/>
    <d v="2025-01-14T00:00:00"/>
    <s v="West"/>
    <s v="Pune"/>
    <s v="Home &amp; Kitchen"/>
    <x v="5"/>
    <n v="3"/>
    <n v="7950"/>
    <s v="Cash on Delivery"/>
    <s v="Shipped"/>
    <n v="23850"/>
  </r>
  <r>
    <s v="ORD10199"/>
    <s v="CUST0025"/>
    <d v="2025-10-08T00:00:00"/>
    <s v="South"/>
    <s v="Chennai"/>
    <s v="Electronics"/>
    <x v="16"/>
    <n v="1"/>
    <n v="45400"/>
    <m/>
    <s v="Delivered"/>
    <n v="45400"/>
  </r>
  <r>
    <s v="ORD10200"/>
    <s v="CUST0425"/>
    <d v="2025-01-25T00:00:00"/>
    <s v="East"/>
    <s v="Bhubaneswar"/>
    <s v="Home &amp; Kitchen"/>
    <x v="18"/>
    <n v="3"/>
    <n v="1450"/>
    <s v="Cash on Delivery"/>
    <s v="Delivered"/>
    <n v="4350"/>
  </r>
  <r>
    <s v="ORD10201"/>
    <s v="CUST0128"/>
    <d v="2025-04-06T00:00:00"/>
    <s v="South"/>
    <s v="Bengaluru"/>
    <s v="Fashion"/>
    <x v="11"/>
    <n v="1"/>
    <n v="4250"/>
    <s v="UPI"/>
    <s v="Delivered"/>
    <n v="4250"/>
  </r>
  <r>
    <s v="ORD10202"/>
    <s v="CUST0151"/>
    <d v="2025-10-14T00:00:00"/>
    <s v="North"/>
    <s v="Bengaluru"/>
    <s v="Fashion"/>
    <x v="2"/>
    <n v="1"/>
    <n v="6850"/>
    <s v="UPI"/>
    <s v="Delivered"/>
    <n v="6850"/>
  </r>
  <r>
    <s v="ORD10203"/>
    <s v="CUST0083"/>
    <d v="2025-04-09T00:00:00"/>
    <s v="South"/>
    <s v="Hyderabad"/>
    <s v="Electronics"/>
    <x v="1"/>
    <n v="5"/>
    <n v="4450"/>
    <s v="UPI"/>
    <s v="Delivered"/>
    <n v="22250"/>
  </r>
  <r>
    <s v="ORD10204"/>
    <s v="CUST0040"/>
    <d v="2025-09-30T00:00:00"/>
    <s v="South"/>
    <s v="Chennai"/>
    <s v="Electronics"/>
    <x v="17"/>
    <n v="2"/>
    <n v="12150"/>
    <s v="Debit Card"/>
    <s v="Delivered"/>
    <n v="24300"/>
  </r>
  <r>
    <s v="ORD10205"/>
    <s v="CUST0191"/>
    <d v="2025-03-03T00:00:00"/>
    <s v="South"/>
    <s v="Vijayawada"/>
    <s v="Electronics"/>
    <x v="17"/>
    <n v="3"/>
    <n v="42850"/>
    <s v="Debit Card"/>
    <s v="Shipped"/>
    <n v="128550"/>
  </r>
  <r>
    <s v="ORD10206"/>
    <s v="CUST0183"/>
    <d v="2025-03-03T00:00:00"/>
    <s v="South"/>
    <s v="Vijayawada"/>
    <s v="Fashion"/>
    <x v="12"/>
    <n v="1"/>
    <n v="4050"/>
    <s v="Credit Card"/>
    <s v="Returned"/>
    <n v="4050"/>
  </r>
  <r>
    <s v="ORD10207"/>
    <s v="CUST0213"/>
    <d v="2025-06-30T00:00:00"/>
    <s v="West"/>
    <s v="Pune"/>
    <s v="Home &amp; Kitchen"/>
    <x v="0"/>
    <n v="2"/>
    <n v="1900"/>
    <s v="UPI"/>
    <s v="Shipped"/>
    <n v="3800"/>
  </r>
  <r>
    <s v="ORD10208"/>
    <s v="CUST0183"/>
    <d v="2025-04-27T00:00:00"/>
    <s v="South"/>
    <s v="Hyderabad"/>
    <s v="Beauty"/>
    <x v="20"/>
    <n v="2"/>
    <n v="750"/>
    <s v="Credit Card"/>
    <s v="Shipped"/>
    <n v="1500"/>
  </r>
  <r>
    <s v="ORD10209"/>
    <s v="CUST0422"/>
    <d v="2025-02-11T00:00:00"/>
    <s v="East"/>
    <s v="Guwahati"/>
    <s v="Home &amp; Kitchen"/>
    <x v="15"/>
    <n v="1"/>
    <n v="6700"/>
    <s v="Credit Card"/>
    <s v="Delivered"/>
    <n v="6700"/>
  </r>
  <r>
    <s v="ORD10210"/>
    <s v="CUST0029"/>
    <d v="2025-04-07T00:00:00"/>
    <s v="South"/>
    <s v="Vijayawada"/>
    <s v="Beauty"/>
    <x v="20"/>
    <n v="1"/>
    <n v="4000"/>
    <s v="Debit Card"/>
    <s v="Delivered"/>
    <n v="4000"/>
  </r>
  <r>
    <s v="ORD10211"/>
    <s v="CUST0200"/>
    <d v="2025-03-20T00:00:00"/>
    <s v="South"/>
    <s v="Vijayawada"/>
    <s v="Sports"/>
    <x v="3"/>
    <n v="2"/>
    <n v="4900"/>
    <s v="Debit Card"/>
    <s v="Cancelled"/>
    <n v="9800"/>
  </r>
  <r>
    <s v="ORD10212"/>
    <s v="CUST0087"/>
    <d v="2025-02-12T00:00:00"/>
    <s v="South"/>
    <s v="Vijayawada"/>
    <s v="Sports"/>
    <x v="6"/>
    <n v="1"/>
    <n v="9900"/>
    <s v="UPI"/>
    <s v="Delivered"/>
    <n v="9900"/>
  </r>
  <r>
    <s v="ORD10213"/>
    <s v="CUST0228"/>
    <d v="2025-05-19T00:00:00"/>
    <s v="South"/>
    <s v="Vijayawada"/>
    <s v="Fashion"/>
    <x v="12"/>
    <n v="2"/>
    <n v="650"/>
    <s v="Credit Card"/>
    <s v="Delivered"/>
    <n v="1300"/>
  </r>
  <r>
    <s v="ORD10214"/>
    <s v="CUST0008"/>
    <d v="2025-11-16T00:00:00"/>
    <s v="West"/>
    <s v="Surat"/>
    <s v="Sports"/>
    <x v="10"/>
    <n v="1"/>
    <n v="3850"/>
    <s v="Credit Card"/>
    <s v="Shipped"/>
    <n v="3850"/>
  </r>
  <r>
    <s v="ORD10215"/>
    <s v="CUST0049"/>
    <d v="2025-10-19T00:00:00"/>
    <s v="East"/>
    <s v="Guwahati"/>
    <s v="Home &amp; Kitchen"/>
    <x v="15"/>
    <n v="2"/>
    <n v="7000"/>
    <s v="Credit Card"/>
    <s v="Delivered"/>
    <n v="14000"/>
  </r>
  <r>
    <s v="ORD10216"/>
    <s v="CUST0347"/>
    <d v="2025-09-15T00:00:00"/>
    <s v="West"/>
    <s v="Pune"/>
    <s v="Fashion"/>
    <x v="13"/>
    <n v="3"/>
    <n v="4050"/>
    <s v="UPI"/>
    <s v="Delivered"/>
    <n v="12150"/>
  </r>
  <r>
    <s v="ORD10217"/>
    <s v="CUST0424"/>
    <d v="2025-07-02T00:00:00"/>
    <s v="East"/>
    <s v="Guwahati"/>
    <s v="Fashion"/>
    <x v="21"/>
    <n v="2"/>
    <n v="6550"/>
    <s v="UPI"/>
    <s v="Delivered"/>
    <n v="13100"/>
  </r>
  <r>
    <s v="ORD10218"/>
    <s v="CUST0288"/>
    <d v="2025-06-23T00:00:00"/>
    <s v="North"/>
    <s v="Jaipur"/>
    <s v="Electronics"/>
    <x v="1"/>
    <n v="4"/>
    <n v="40100"/>
    <s v="UPI"/>
    <s v="Delivered"/>
    <n v="160400"/>
  </r>
  <r>
    <s v="ORD10219"/>
    <s v="CUST0149"/>
    <d v="2025-05-29T00:00:00"/>
    <s v="South"/>
    <s v="Vijayawada"/>
    <s v="Electronics"/>
    <x v="16"/>
    <n v="3"/>
    <n v="21100"/>
    <s v="UPI"/>
    <s v="Delivered"/>
    <n v="63300"/>
  </r>
  <r>
    <s v="ORD10220"/>
    <s v="CUST0258"/>
    <d v="2025-01-29T00:00:00"/>
    <s v="South"/>
    <s v="Vijayawada"/>
    <s v="Sports"/>
    <x v="4"/>
    <n v="5"/>
    <n v="5700"/>
    <s v="Net Banking"/>
    <s v="Delivered"/>
    <n v="28500"/>
  </r>
  <r>
    <s v="ORD10221"/>
    <s v="CUST0421"/>
    <d v="2025-07-08T00:00:00"/>
    <s v="West"/>
    <s v="Ahmedabad"/>
    <s v="Fashion"/>
    <x v="2"/>
    <n v="1"/>
    <n v="4100"/>
    <s v="UPI"/>
    <s v="Delivered"/>
    <n v="4100"/>
  </r>
  <r>
    <s v="ORD10222"/>
    <s v="CUST0229"/>
    <d v="2025-04-21T00:00:00"/>
    <s v="South"/>
    <s v="Chennai"/>
    <s v="Beauty"/>
    <x v="8"/>
    <n v="1"/>
    <n v="950"/>
    <s v="Credit Card"/>
    <s v="Cancelled"/>
    <n v="950"/>
  </r>
  <r>
    <s v="ORD10223"/>
    <s v="CUST0320"/>
    <d v="2025-12-28T00:00:00"/>
    <s v="South"/>
    <s v="Hyderabad"/>
    <s v="Electronics"/>
    <x v="22"/>
    <n v="3"/>
    <n v="48400"/>
    <s v="UPI"/>
    <s v="Delivered"/>
    <n v="145200"/>
  </r>
  <r>
    <s v="ORD10224"/>
    <s v="CUST0393"/>
    <d v="2025-03-27T00:00:00"/>
    <s v="North"/>
    <s v="Chandigarh"/>
    <s v="Fashion"/>
    <x v="13"/>
    <n v="2"/>
    <n v="6600"/>
    <s v="Debit Card"/>
    <s v="Delivered"/>
    <n v="13200"/>
  </r>
  <r>
    <s v="ORD10225"/>
    <s v="CUST0400"/>
    <d v="2025-08-31T00:00:00"/>
    <s v="South"/>
    <s v="Hyderabad"/>
    <s v="Sports"/>
    <x v="3"/>
    <n v="2"/>
    <n v="600"/>
    <s v="Debit Card"/>
    <s v="Delivered"/>
    <n v="1200"/>
  </r>
  <r>
    <s v="ORD10226"/>
    <s v="CUST0154"/>
    <d v="2025-10-20T00:00:00"/>
    <s v="East"/>
    <s v="Guwahati"/>
    <s v="Sports"/>
    <x v="10"/>
    <n v="2"/>
    <n v="4150"/>
    <s v="Debit Card"/>
    <s v="Delivered"/>
    <n v="8300"/>
  </r>
  <r>
    <s v="ORD10227"/>
    <s v="CUST0004"/>
    <d v="2025-08-09T00:00:00"/>
    <s v="South"/>
    <s v="Bengaluru"/>
    <s v="Fashion"/>
    <x v="21"/>
    <n v="3"/>
    <n v="3100"/>
    <s v="UPI"/>
    <s v="Delivered"/>
    <n v="9300"/>
  </r>
  <r>
    <s v="ORD10228"/>
    <s v="CUST0403"/>
    <d v="2025-06-08T00:00:00"/>
    <s v="North"/>
    <s v="Lucknow"/>
    <s v="Fashion"/>
    <x v="21"/>
    <n v="1"/>
    <n v="5750"/>
    <s v="Credit Card"/>
    <s v="Delivered"/>
    <n v="5750"/>
  </r>
  <r>
    <s v="ORD10229"/>
    <s v="CUST0117"/>
    <d v="2025-12-22T00:00:00"/>
    <s v="North"/>
    <s v="Jaipur"/>
    <s v="Electronics"/>
    <x v="1"/>
    <n v="2"/>
    <n v="10300"/>
    <s v="Debit Card"/>
    <s v="Returned"/>
    <n v="20600"/>
  </r>
  <r>
    <s v="ORD10230"/>
    <s v="CUST0251"/>
    <d v="2025-10-30T00:00:00"/>
    <s v="South"/>
    <s v="Chennai"/>
    <s v="Fashion"/>
    <x v="21"/>
    <n v="1"/>
    <n v="6000"/>
    <s v="Credit Card"/>
    <s v="Delivered"/>
    <n v="6000"/>
  </r>
  <r>
    <s v="ORD10231"/>
    <s v="CUST0198"/>
    <d v="2025-02-16T00:00:00"/>
    <s v="South"/>
    <s v="Hyderabad"/>
    <s v="Sports"/>
    <x v="4"/>
    <n v="2"/>
    <n v="4500"/>
    <s v="Debit Card"/>
    <s v="Delivered"/>
    <n v="9000"/>
  </r>
  <r>
    <s v="ORD10232"/>
    <s v="CUST0107"/>
    <d v="2025-04-23T00:00:00"/>
    <s v="West"/>
    <s v="Pune"/>
    <s v="Sports"/>
    <x v="10"/>
    <n v="1"/>
    <n v="6100"/>
    <s v="Credit Card"/>
    <s v="Delivered"/>
    <n v="6100"/>
  </r>
  <r>
    <s v="ORD10233"/>
    <s v="CUST0069"/>
    <d v="2025-12-15T00:00:00"/>
    <s v="West"/>
    <s v="Ahmedabad"/>
    <s v="Fashion"/>
    <x v="21"/>
    <n v="4"/>
    <n v="2650"/>
    <s v="UPI"/>
    <s v="Delivered"/>
    <n v="10600"/>
  </r>
  <r>
    <s v="ORD10234"/>
    <s v="CUST0295"/>
    <d v="2025-05-09T00:00:00"/>
    <s v="West"/>
    <s v="Pune"/>
    <s v="Home &amp; Kitchen"/>
    <x v="15"/>
    <n v="2"/>
    <n v="8450"/>
    <s v="Debit Card"/>
    <s v="Delivered"/>
    <n v="16900"/>
  </r>
  <r>
    <s v="ORD10235"/>
    <s v="CUST0036"/>
    <d v="2025-08-01T00:00:00"/>
    <s v="West"/>
    <s v="Pune"/>
    <s v="Beauty"/>
    <x v="23"/>
    <n v="1"/>
    <n v="1300"/>
    <s v="Credit Card"/>
    <s v="Cancelled"/>
    <n v="1300"/>
  </r>
  <r>
    <s v="ORD10236"/>
    <s v="CUST0336"/>
    <d v="2025-07-01T00:00:00"/>
    <s v="South"/>
    <s v="Bengaluru"/>
    <s v="Electronics"/>
    <x v="17"/>
    <n v="1"/>
    <n v="17550"/>
    <s v="Cash on Delivery"/>
    <s v="Delivered"/>
    <n v="17550"/>
  </r>
  <r>
    <s v="ORD10237"/>
    <s v="CUST0363"/>
    <d v="2025-01-21T00:00:00"/>
    <s v="West"/>
    <s v="Surat"/>
    <s v="Home &amp; Kitchen"/>
    <x v="18"/>
    <n v="3"/>
    <n v="1600"/>
    <s v="UPI"/>
    <s v="Delivered"/>
    <n v="4800"/>
  </r>
  <r>
    <s v="ORD10238"/>
    <s v="CUST0143"/>
    <d v="2025-07-18T00:00:00"/>
    <s v="West"/>
    <s v="Pune"/>
    <s v="Fashion"/>
    <x v="13"/>
    <n v="1"/>
    <n v="7250"/>
    <s v="Debit Card"/>
    <s v="Returned"/>
    <n v="7250"/>
  </r>
  <r>
    <s v="ORD10239"/>
    <s v="CUST0087"/>
    <d v="2025-08-06T00:00:00"/>
    <s v="North"/>
    <s v="Chandigarh"/>
    <s v="Home &amp; Kitchen"/>
    <x v="5"/>
    <n v="2"/>
    <n v="5700"/>
    <s v="Net Banking"/>
    <s v="Delivered"/>
    <n v="11400"/>
  </r>
  <r>
    <s v="ORD10240"/>
    <s v="CUST0117"/>
    <d v="2025-07-15T00:00:00"/>
    <s v="North"/>
    <s v="Delhi"/>
    <s v="Electronics"/>
    <x v="7"/>
    <n v="4"/>
    <n v="61600"/>
    <s v="UPI"/>
    <s v="Delivered"/>
    <n v="246400"/>
  </r>
  <r>
    <s v="ORD10241"/>
    <s v="CUST0043"/>
    <d v="2025-06-18T00:00:00"/>
    <s v="East"/>
    <s v="Patna"/>
    <s v="Home &amp; Kitchen"/>
    <x v="18"/>
    <n v="5"/>
    <n v="5000"/>
    <s v="UPI"/>
    <s v="Delivered"/>
    <n v="25000"/>
  </r>
  <r>
    <s v="ORD10242"/>
    <s v="CUST0022"/>
    <d v="2025-04-22T00:00:00"/>
    <s v="North"/>
    <s v="Jaipur"/>
    <s v="Beauty"/>
    <x v="14"/>
    <n v="3"/>
    <n v="1300"/>
    <s v="Credit Card"/>
    <s v="Delivered"/>
    <n v="3900"/>
  </r>
  <r>
    <s v="ORD10243"/>
    <s v="CUST0294"/>
    <d v="2025-02-28T00:00:00"/>
    <s v="North"/>
    <s v="Chandigarh"/>
    <s v="Electronics"/>
    <x v="22"/>
    <n v="2"/>
    <n v="30300"/>
    <s v="UPI"/>
    <s v="Shipped"/>
    <n v="60600"/>
  </r>
  <r>
    <s v="ORD10244"/>
    <s v="CUST0372"/>
    <d v="2025-08-02T00:00:00"/>
    <s v="West"/>
    <s v="Surat"/>
    <s v="Home &amp; Kitchen"/>
    <x v="9"/>
    <n v="3"/>
    <n v="3200"/>
    <s v="Credit Card"/>
    <s v="Delivered"/>
    <n v="9600"/>
  </r>
  <r>
    <s v="ORD10245"/>
    <s v="CUST0026"/>
    <d v="2025-03-07T00:00:00"/>
    <s v="West"/>
    <s v="Surat"/>
    <s v="Electronics"/>
    <x v="16"/>
    <n v="1"/>
    <n v="56700"/>
    <s v="Credit Card"/>
    <s v="Returned"/>
    <n v="56700"/>
  </r>
  <r>
    <s v="ORD10246"/>
    <s v="CUST0379"/>
    <d v="2025-06-27T00:00:00"/>
    <s v="East"/>
    <s v="Kolkata"/>
    <s v="Electronics"/>
    <x v="1"/>
    <n v="3"/>
    <n v="25800"/>
    <s v="Credit Card"/>
    <s v="Delivered"/>
    <n v="77400"/>
  </r>
  <r>
    <s v="ORD10247"/>
    <s v="CUST0085"/>
    <d v="2025-03-13T00:00:00"/>
    <s v="East"/>
    <s v="Guwahati"/>
    <s v="Electronics"/>
    <x v="16"/>
    <n v="1"/>
    <n v="12700"/>
    <s v="UPI"/>
    <s v="Delivered"/>
    <n v="12700"/>
  </r>
  <r>
    <s v="ORD10248"/>
    <s v="CUST0283"/>
    <d v="2025-04-24T00:00:00"/>
    <s v="South"/>
    <s v="Vijayawada"/>
    <s v="Beauty"/>
    <x v="24"/>
    <n v="1"/>
    <n v="2900"/>
    <s v="Debit Card"/>
    <s v="Delivered"/>
    <n v="2900"/>
  </r>
  <r>
    <s v="ORD10249"/>
    <s v="CUST0260"/>
    <d v="2025-09-03T00:00:00"/>
    <s v="West"/>
    <s v="Ahmedabad"/>
    <s v="Electronics"/>
    <x v="7"/>
    <n v="3"/>
    <n v="12550"/>
    <s v="Debit Card"/>
    <s v="Delivered"/>
    <n v="37650"/>
  </r>
  <r>
    <s v="ORD10250"/>
    <s v="CUST0158"/>
    <d v="2025-09-26T00:00:00"/>
    <s v="West"/>
    <s v="Pune"/>
    <s v="Sports"/>
    <x v="19"/>
    <n v="5"/>
    <n v="3550"/>
    <s v="Credit Card"/>
    <s v="Delivered"/>
    <n v="17750"/>
  </r>
  <r>
    <s v="ORD10251"/>
    <s v="CUST0196"/>
    <d v="2025-10-08T00:00:00"/>
    <s v="East"/>
    <s v="Patna"/>
    <s v="Home &amp; Kitchen"/>
    <x v="15"/>
    <n v="1"/>
    <n v="6000"/>
    <s v="Debit Card"/>
    <s v="Delivered"/>
    <n v="6000"/>
  </r>
  <r>
    <s v="ORD10252"/>
    <s v="CUST0134"/>
    <d v="2025-07-30T00:00:00"/>
    <s v="South"/>
    <s v="Hyderabad"/>
    <s v="Sports"/>
    <x v="3"/>
    <n v="1"/>
    <n v="9750"/>
    <s v="UPI"/>
    <s v="Cancelled"/>
    <n v="9750"/>
  </r>
  <r>
    <s v="ORD10253"/>
    <s v="CUST0076"/>
    <d v="2025-10-13T00:00:00"/>
    <s v="North"/>
    <s v="Lucknow"/>
    <s v="Beauty"/>
    <x v="14"/>
    <n v="1"/>
    <n v="3350"/>
    <s v="UPI"/>
    <s v="Shipped"/>
    <n v="3350"/>
  </r>
  <r>
    <s v="ORD10254"/>
    <s v="CUST0431"/>
    <d v="2025-12-04T00:00:00"/>
    <s v="South"/>
    <s v="Bengaluru"/>
    <s v="Electronics"/>
    <x v="16"/>
    <n v="1"/>
    <n v="7150"/>
    <s v="UPI"/>
    <s v="Delivered"/>
    <n v="7150"/>
  </r>
  <r>
    <s v="ORD10255"/>
    <s v="CUST0419"/>
    <d v="2025-10-16T00:00:00"/>
    <s v="North"/>
    <s v="Chandigarh"/>
    <s v="Beauty"/>
    <x v="14"/>
    <n v="3"/>
    <n v="1900"/>
    <s v="Credit Card"/>
    <s v="Returned"/>
    <n v="5700"/>
  </r>
  <r>
    <s v="ORD10256"/>
    <s v="CUST0001"/>
    <d v="2025-09-04T00:00:00"/>
    <s v="South"/>
    <s v="Vijayawada"/>
    <s v="Electronics"/>
    <x v="22"/>
    <n v="2"/>
    <n v="950"/>
    <s v="UPI"/>
    <s v="Delivered"/>
    <n v="1900"/>
  </r>
  <r>
    <s v="ORD10257"/>
    <s v="CUST0437"/>
    <d v="2025-10-29T00:00:00"/>
    <s v="West"/>
    <s v="Mumbai"/>
    <s v="Electronics"/>
    <x v="1"/>
    <n v="1"/>
    <n v="14550"/>
    <s v="UPI"/>
    <s v="Delivered"/>
    <n v="14550"/>
  </r>
  <r>
    <s v="ORD10258"/>
    <s v="CUST0134"/>
    <d v="2025-09-08T00:00:00"/>
    <s v="East"/>
    <s v="Patna"/>
    <s v="Beauty"/>
    <x v="23"/>
    <n v="1"/>
    <n v="4100"/>
    <s v="Cash on Delivery"/>
    <s v="Delivered"/>
    <n v="4100"/>
  </r>
  <r>
    <s v="ORD10259"/>
    <s v="CUST0147"/>
    <d v="2025-01-30T00:00:00"/>
    <s v="South"/>
    <s v="Vijayawada"/>
    <s v="Electronics"/>
    <x v="1"/>
    <n v="1"/>
    <n v="25100"/>
    <s v="Credit Card"/>
    <s v="Delivered"/>
    <n v="25100"/>
  </r>
  <r>
    <s v="ORD10260"/>
    <s v="CUST0083"/>
    <d v="2025-04-20T00:00:00"/>
    <s v="North"/>
    <s v="Delhi"/>
    <s v="Beauty"/>
    <x v="8"/>
    <n v="1"/>
    <n v="2200"/>
    <s v="Net Banking"/>
    <s v="Delivered"/>
    <n v="2200"/>
  </r>
  <r>
    <s v="ORD10261"/>
    <s v="CUST0375"/>
    <d v="2025-05-01T00:00:00"/>
    <s v="West"/>
    <s v="Surat"/>
    <s v="Sports"/>
    <x v="3"/>
    <n v="4"/>
    <n v="650"/>
    <s v="Debit Card"/>
    <s v="Delivered"/>
    <n v="2600"/>
  </r>
  <r>
    <s v="ORD10262"/>
    <s v="CUST0161"/>
    <d v="2025-11-04T00:00:00"/>
    <s v="South"/>
    <s v="Bengaluru"/>
    <s v="Home &amp; Kitchen"/>
    <x v="15"/>
    <n v="1"/>
    <n v="1300"/>
    <s v="UPI"/>
    <s v="Delivered"/>
    <n v="1300"/>
  </r>
  <r>
    <s v="ORD10263"/>
    <s v="CUST0264"/>
    <d v="2025-01-02T00:00:00"/>
    <s v="South"/>
    <s v="Hyderabad"/>
    <s v="Home &amp; Kitchen"/>
    <x v="9"/>
    <n v="2"/>
    <n v="2850"/>
    <s v="UPI"/>
    <s v="Cancelled"/>
    <n v="5700"/>
  </r>
  <r>
    <s v="ORD10264"/>
    <s v="CUST0035"/>
    <d v="2025-09-24T00:00:00"/>
    <s v="East"/>
    <s v="Patna"/>
    <s v="Fashion"/>
    <x v="13"/>
    <n v="1"/>
    <n v="1000"/>
    <s v="Debit Card"/>
    <s v="Delivered"/>
    <n v="1000"/>
  </r>
  <r>
    <s v="ORD10265"/>
    <s v="CUST0201"/>
    <d v="2025-11-20T00:00:00"/>
    <s v="North"/>
    <s v="Delhi"/>
    <s v="Sports"/>
    <x v="3"/>
    <n v="3"/>
    <n v="1100"/>
    <s v="Credit Card"/>
    <s v="Delivered"/>
    <n v="3300"/>
  </r>
  <r>
    <s v="ORD10266"/>
    <s v="CUST0174"/>
    <d v="2025-02-16T00:00:00"/>
    <s v="East"/>
    <s v="Kolkata"/>
    <s v="Sports"/>
    <x v="3"/>
    <n v="2"/>
    <n v="750"/>
    <s v="UPI"/>
    <s v="Cancelled"/>
    <n v="1500"/>
  </r>
  <r>
    <s v="ORD10267"/>
    <s v="CUST0179"/>
    <d v="2025-05-12T00:00:00"/>
    <s v="East"/>
    <s v="Kolkata"/>
    <s v="Electronics"/>
    <x v="1"/>
    <n v="4"/>
    <n v="11650"/>
    <s v="Credit Card"/>
    <s v="Shipped"/>
    <n v="46600"/>
  </r>
  <r>
    <s v="ORD10268"/>
    <s v="CUST0347"/>
    <d v="2025-12-27T00:00:00"/>
    <s v="South"/>
    <s v="Bengaluru"/>
    <s v="Fashion"/>
    <x v="2"/>
    <n v="5"/>
    <n v="6400"/>
    <s v="UPI"/>
    <s v="Delivered"/>
    <n v="32000"/>
  </r>
  <r>
    <s v="ORD10269"/>
    <s v="CUST0449"/>
    <d v="2025-04-03T00:00:00"/>
    <s v="South"/>
    <s v="Hyderabad"/>
    <s v="Fashion"/>
    <x v="13"/>
    <n v="1"/>
    <n v="4000"/>
    <s v="UPI"/>
    <s v="Delivered"/>
    <n v="4000"/>
  </r>
  <r>
    <s v="ORD10270"/>
    <s v="CUST0049"/>
    <d v="2025-10-29T00:00:00"/>
    <s v="South"/>
    <s v="Chennai"/>
    <s v="Home &amp; Kitchen"/>
    <x v="9"/>
    <n v="1"/>
    <n v="4150"/>
    <s v="Credit Card"/>
    <s v="Delivered"/>
    <n v="4150"/>
  </r>
  <r>
    <s v="ORD10271"/>
    <s v="CUST0363"/>
    <d v="2025-11-06T00:00:00"/>
    <s v="East"/>
    <s v="Kolkata"/>
    <s v="Electronics"/>
    <x v="1"/>
    <n v="3"/>
    <n v="22500"/>
    <s v="Credit Card"/>
    <s v="Delivered"/>
    <n v="67500"/>
  </r>
  <r>
    <s v="ORD10272"/>
    <s v="CUST0041"/>
    <d v="2025-02-08T00:00:00"/>
    <s v="West"/>
    <s v="Mumbai"/>
    <s v="Sports"/>
    <x v="19"/>
    <n v="1"/>
    <n v="6350"/>
    <s v="UPI"/>
    <s v="Delivered"/>
    <n v="6350"/>
  </r>
  <r>
    <s v="ORD10273"/>
    <s v="CUST0332"/>
    <d v="2025-03-13T00:00:00"/>
    <s v="South"/>
    <s v="Chennai"/>
    <s v="Home &amp; Kitchen"/>
    <x v="9"/>
    <n v="1"/>
    <n v="1400"/>
    <s v="Credit Card"/>
    <s v="Delivered"/>
    <n v="1400"/>
  </r>
  <r>
    <s v="ORD10274"/>
    <s v="CUST0008"/>
    <d v="2025-06-02T00:00:00"/>
    <s v="South"/>
    <s v="Hyderabad"/>
    <s v="Sports"/>
    <x v="6"/>
    <n v="3"/>
    <n v="3450"/>
    <s v="Net Banking"/>
    <s v="Shipped"/>
    <n v="10350"/>
  </r>
  <r>
    <s v="ORD10275"/>
    <s v="CUST0127"/>
    <d v="2025-03-23T00:00:00"/>
    <s v="East"/>
    <s v="Kolkata"/>
    <s v="Fashion"/>
    <x v="21"/>
    <n v="2"/>
    <n v="5000"/>
    <s v="UPI"/>
    <s v="Delivered"/>
    <n v="10000"/>
  </r>
  <r>
    <s v="ORD10276"/>
    <s v="CUST0447"/>
    <d v="2025-10-12T00:00:00"/>
    <s v="North"/>
    <s v="Delhi"/>
    <s v="Electronics"/>
    <x v="17"/>
    <n v="1"/>
    <n v="5250"/>
    <s v="UPI"/>
    <s v="Cancelled"/>
    <n v="5250"/>
  </r>
  <r>
    <s v="ORD10277"/>
    <s v="CUST0028"/>
    <d v="2025-09-16T00:00:00"/>
    <s v="East"/>
    <s v="Kolkata"/>
    <s v="Fashion"/>
    <x v="11"/>
    <n v="2"/>
    <n v="500"/>
    <s v="Cash on Delivery"/>
    <s v="Delivered"/>
    <n v="1000"/>
  </r>
  <r>
    <s v="ORD10278"/>
    <s v="CUST0268"/>
    <d v="2025-08-23T00:00:00"/>
    <s v="West"/>
    <s v="Mumbai"/>
    <s v="Beauty"/>
    <x v="8"/>
    <n v="2"/>
    <n v="500"/>
    <s v="UPI"/>
    <s v="Delivered"/>
    <n v="1000"/>
  </r>
  <r>
    <s v="ORD10279"/>
    <s v="CUST0294"/>
    <d v="2025-10-11T00:00:00"/>
    <s v="North"/>
    <s v="Delhi"/>
    <s v="Home &amp; Kitchen"/>
    <x v="0"/>
    <n v="2"/>
    <n v="1350"/>
    <s v="UPI"/>
    <s v="Delivered"/>
    <n v="2700"/>
  </r>
  <r>
    <s v="ORD10280"/>
    <s v="CUST0364"/>
    <d v="2025-12-20T00:00:00"/>
    <s v="North"/>
    <s v="Lucknow"/>
    <s v="Home &amp; Kitchen"/>
    <x v="9"/>
    <n v="2"/>
    <n v="950"/>
    <s v="Cash on Delivery"/>
    <s v="Delivered"/>
    <n v="1900"/>
  </r>
  <r>
    <s v="ORD10281"/>
    <s v="CUST0313"/>
    <d v="2025-04-28T00:00:00"/>
    <s v="East"/>
    <s v="Patna"/>
    <s v="Home &amp; Kitchen"/>
    <x v="9"/>
    <n v="1"/>
    <n v="6900"/>
    <s v="Cash on Delivery"/>
    <s v="Delivered"/>
    <n v="6900"/>
  </r>
  <r>
    <s v="ORD10282"/>
    <s v="CUST0193"/>
    <d v="2025-02-16T00:00:00"/>
    <s v="North"/>
    <s v="Jaipur"/>
    <s v="Beauty"/>
    <x v="14"/>
    <n v="1"/>
    <n v="1000"/>
    <s v="UPI"/>
    <s v="Cancelled"/>
    <n v="1000"/>
  </r>
  <r>
    <s v="ORD10283"/>
    <s v="CUST0305"/>
    <d v="2025-10-21T00:00:00"/>
    <s v="North"/>
    <s v="Jaipur"/>
    <s v="Electronics"/>
    <x v="16"/>
    <n v="1"/>
    <n v="41650"/>
    <s v="UPI"/>
    <s v="Delivered"/>
    <n v="41650"/>
  </r>
  <r>
    <s v="ORD10284"/>
    <s v="CUST0325"/>
    <d v="2025-12-10T00:00:00"/>
    <s v="East"/>
    <s v="Guwahati"/>
    <s v="Sports"/>
    <x v="3"/>
    <n v="1"/>
    <n v="9900"/>
    <s v="Debit Card"/>
    <s v="Delivered"/>
    <n v="9900"/>
  </r>
  <r>
    <s v="ORD10285"/>
    <s v="CUST0306"/>
    <d v="2025-09-19T00:00:00"/>
    <s v="South"/>
    <s v="Bengaluru"/>
    <s v="Fashion"/>
    <x v="12"/>
    <n v="1"/>
    <n v="700"/>
    <s v="Credit Card"/>
    <s v="Delivered"/>
    <n v="700"/>
  </r>
  <r>
    <s v="ORD10286"/>
    <s v="CUST0134"/>
    <d v="2025-07-15T00:00:00"/>
    <s v="South"/>
    <s v="Hyderabad"/>
    <s v="Beauty"/>
    <x v="20"/>
    <n v="1"/>
    <n v="4200"/>
    <s v="Credit Card"/>
    <s v="Delivered"/>
    <n v="4200"/>
  </r>
  <r>
    <s v="ORD10287"/>
    <s v="CUST0278"/>
    <d v="2025-03-09T00:00:00"/>
    <s v="East"/>
    <s v="Kolkata"/>
    <s v="Sports"/>
    <x v="19"/>
    <n v="1"/>
    <n v="6250"/>
    <s v="UPI"/>
    <s v="Returned"/>
    <n v="6250"/>
  </r>
  <r>
    <s v="ORD10288"/>
    <s v="CUST0354"/>
    <d v="2025-04-19T00:00:00"/>
    <s v="North"/>
    <s v="Jaipur"/>
    <s v="Sports"/>
    <x v="19"/>
    <n v="1"/>
    <n v="2100"/>
    <s v="Cash on Delivery"/>
    <s v="Delivered"/>
    <n v="2100"/>
  </r>
  <r>
    <s v="ORD10289"/>
    <s v="CUST0092"/>
    <d v="2025-10-07T00:00:00"/>
    <s v="North"/>
    <s v="Lucknow"/>
    <s v="Electronics"/>
    <x v="7"/>
    <n v="4"/>
    <n v="18100"/>
    <s v="Credit Card"/>
    <s v="Delivered"/>
    <n v="72400"/>
  </r>
  <r>
    <s v="ORD10290"/>
    <s v="CUST0214"/>
    <d v="2025-09-06T00:00:00"/>
    <s v="West"/>
    <s v="Ahmedabad"/>
    <s v="Sports"/>
    <x v="6"/>
    <n v="3"/>
    <n v="2450"/>
    <s v="Debit Card"/>
    <s v="Delivered"/>
    <n v="7350"/>
  </r>
  <r>
    <s v="ORD10291"/>
    <s v="CUST0064"/>
    <d v="2025-04-01T00:00:00"/>
    <s v="South"/>
    <s v="Hyderabad"/>
    <s v="Beauty"/>
    <x v="8"/>
    <n v="3"/>
    <n v="900"/>
    <s v="Debit Card"/>
    <s v="Cancelled"/>
    <n v="2700"/>
  </r>
  <r>
    <s v="ORD10292"/>
    <s v="CUST0184"/>
    <d v="2025-01-20T00:00:00"/>
    <s v="South"/>
    <s v="Chennai"/>
    <s v="Sports"/>
    <x v="10"/>
    <n v="1"/>
    <n v="8750"/>
    <s v="Debit Card"/>
    <s v="Delivered"/>
    <n v="8750"/>
  </r>
  <r>
    <s v="ORD10293"/>
    <s v="CUST0070"/>
    <d v="2025-07-02T00:00:00"/>
    <s v="East"/>
    <s v="Kolkata"/>
    <s v="Home &amp; Kitchen"/>
    <x v="5"/>
    <n v="2"/>
    <n v="8550"/>
    <s v="UPI"/>
    <s v="Delivered"/>
    <n v="17100"/>
  </r>
  <r>
    <s v="ORD10294"/>
    <s v="CUST0179"/>
    <d v="2025-08-07T00:00:00"/>
    <s v="South"/>
    <s v="Vijayawada"/>
    <s v="Home &amp; Kitchen"/>
    <x v="9"/>
    <n v="2"/>
    <n v="4100"/>
    <s v="Cash on Delivery"/>
    <s v="Delivered"/>
    <n v="8200"/>
  </r>
  <r>
    <s v="ORD10295"/>
    <s v="CUST0116"/>
    <d v="2025-12-03T00:00:00"/>
    <s v="West"/>
    <s v="Ahmedabad"/>
    <s v="Home &amp; Kitchen"/>
    <x v="9"/>
    <n v="4"/>
    <n v="5250"/>
    <s v="UPI"/>
    <s v="Delivered"/>
    <n v="21000"/>
  </r>
  <r>
    <s v="ORD10296"/>
    <s v="CUST0189"/>
    <d v="2025-10-14T00:00:00"/>
    <s v="East"/>
    <s v="Patna"/>
    <s v="Fashion"/>
    <x v="13"/>
    <n v="1"/>
    <n v="2750"/>
    <s v="UPI"/>
    <s v="Returned"/>
    <n v="2750"/>
  </r>
  <r>
    <s v="ORD10297"/>
    <s v="CUST0277"/>
    <d v="2025-07-23T00:00:00"/>
    <s v="North"/>
    <s v="Delhi"/>
    <s v="Beauty"/>
    <x v="24"/>
    <n v="3"/>
    <n v="350"/>
    <s v="Credit Card"/>
    <s v="Delivered"/>
    <n v="1050"/>
  </r>
  <r>
    <s v="ORD10298"/>
    <s v="CUST0327"/>
    <d v="2025-01-30T00:00:00"/>
    <s v="South"/>
    <s v="Hyderabad"/>
    <s v="Beauty"/>
    <x v="8"/>
    <n v="5"/>
    <n v="4000"/>
    <s v="UPI"/>
    <s v="Returned"/>
    <n v="20000"/>
  </r>
  <r>
    <s v="ORD10298"/>
    <s v="CUST0128"/>
    <d v="2025-07-20T00:00:00"/>
    <s v="South"/>
    <s v="Hyderabad"/>
    <s v="Electronics"/>
    <x v="7"/>
    <n v="1"/>
    <n v="48300"/>
    <s v="Debit Card"/>
    <s v="Delivered"/>
    <n v="48300"/>
  </r>
  <r>
    <s v="ORD10300"/>
    <s v="CUST0414"/>
    <d v="2025-12-24T00:00:00"/>
    <s v="West"/>
    <s v="Ahmedabad"/>
    <s v="Beauty"/>
    <x v="23"/>
    <n v="2"/>
    <n v="650"/>
    <s v="UPI"/>
    <s v="Delivered"/>
    <n v="1300"/>
  </r>
  <r>
    <s v="ORD10301"/>
    <s v="CUST0016"/>
    <d v="2025-03-07T00:00:00"/>
    <s v="West"/>
    <s v="Mumbai"/>
    <s v="Home &amp; Kitchen"/>
    <x v="9"/>
    <n v="1"/>
    <n v="8550"/>
    <s v="Net Banking"/>
    <s v="Delivered"/>
    <n v="8550"/>
  </r>
  <r>
    <s v="ORD10302"/>
    <s v="CUST0415"/>
    <d v="2025-10-17T00:00:00"/>
    <s v="West"/>
    <s v="Surat"/>
    <s v="Electronics"/>
    <x v="22"/>
    <n v="1"/>
    <n v="31450"/>
    <s v="Debit Card"/>
    <s v="Delivered"/>
    <n v="31450"/>
  </r>
  <r>
    <s v="ORD10303"/>
    <s v="CUST0021"/>
    <d v="2025-02-22T00:00:00"/>
    <s v="South"/>
    <s v="Chennai"/>
    <s v="Home &amp; Kitchen"/>
    <x v="9"/>
    <n v="1"/>
    <n v="4400"/>
    <s v="Debit Card"/>
    <s v="Returned"/>
    <n v="4400"/>
  </r>
  <r>
    <s v="ORD10304"/>
    <s v="CUST0054"/>
    <d v="2025-02-21T00:00:00"/>
    <s v="South"/>
    <s v="Hyderabad"/>
    <s v="Home &amp; Kitchen"/>
    <x v="18"/>
    <n v="3"/>
    <n v="6550"/>
    <s v="Credit Card"/>
    <s v="Shipped"/>
    <n v="19650"/>
  </r>
  <r>
    <s v="ORD10305"/>
    <s v="CUST0260"/>
    <d v="2025-07-24T00:00:00"/>
    <s v="South"/>
    <s v="Vijayawada"/>
    <s v="Fashion"/>
    <x v="11"/>
    <n v="1"/>
    <n v="2200"/>
    <s v="UPI"/>
    <s v="Delivered"/>
    <n v="2200"/>
  </r>
  <r>
    <s v="ORD10306"/>
    <s v="CUST0204"/>
    <d v="2025-02-18T00:00:00"/>
    <s v="North"/>
    <s v="Lucknow"/>
    <s v="Sports"/>
    <x v="3"/>
    <n v="1"/>
    <n v="3200"/>
    <s v="Debit Card"/>
    <s v="Delivered"/>
    <n v="3200"/>
  </r>
  <r>
    <s v="ORD10307"/>
    <s v="CUST0264"/>
    <d v="2025-11-21T00:00:00"/>
    <s v="North"/>
    <s v="Jaipur"/>
    <s v="Home &amp; Kitchen"/>
    <x v="18"/>
    <n v="2"/>
    <n v="6500"/>
    <s v="Cash on Delivery"/>
    <s v="Delivered"/>
    <n v="13000"/>
  </r>
  <r>
    <s v="ORD10308"/>
    <s v="CUST0100"/>
    <d v="2025-12-04T00:00:00"/>
    <s v="East"/>
    <s v="Kolkata"/>
    <s v="Sports"/>
    <x v="6"/>
    <n v="1"/>
    <n v="3900"/>
    <s v="Cash on Delivery"/>
    <s v="Delivered"/>
    <n v="3900"/>
  </r>
  <r>
    <s v="ORD10309"/>
    <s v="CUST0218"/>
    <d v="2025-11-12T00:00:00"/>
    <s v="North"/>
    <s v="Jaipur"/>
    <s v="Sports"/>
    <x v="6"/>
    <n v="4"/>
    <n v="4100"/>
    <s v="UPI"/>
    <s v="Delivered"/>
    <n v="16400"/>
  </r>
  <r>
    <s v="ORD10310"/>
    <s v="CUST0273"/>
    <d v="2025-10-08T00:00:00"/>
    <s v="South"/>
    <s v="Hyderabad"/>
    <s v="Fashion"/>
    <x v="11"/>
    <n v="2"/>
    <n v="5800"/>
    <s v="Net Banking"/>
    <s v="Delivered"/>
    <n v="11600"/>
  </r>
  <r>
    <s v="ORD10311"/>
    <s v="CUST0028"/>
    <d v="2025-02-10T00:00:00"/>
    <s v="North"/>
    <s v="Lucknow"/>
    <s v="Home &amp; Kitchen"/>
    <x v="0"/>
    <n v="1"/>
    <n v="5900"/>
    <s v="Credit Card"/>
    <s v="Returned"/>
    <n v="5900"/>
  </r>
  <r>
    <s v="ORD10312"/>
    <s v="CUST0397"/>
    <d v="2025-04-10T00:00:00"/>
    <s v="West"/>
    <s v="Ahmedabad"/>
    <s v="Home &amp; Kitchen"/>
    <x v="5"/>
    <n v="1"/>
    <n v="3500"/>
    <s v="Debit Card"/>
    <s v="Delivered"/>
    <n v="3500"/>
  </r>
  <r>
    <s v="ORD10313"/>
    <s v="CUST0237"/>
    <d v="2025-06-11T00:00:00"/>
    <s v="West"/>
    <s v="Ahmedabad"/>
    <s v="Sports"/>
    <x v="19"/>
    <n v="2"/>
    <n v="7450"/>
    <s v="Debit Card"/>
    <s v="Delivered"/>
    <n v="14900"/>
  </r>
  <r>
    <s v="ORD10314"/>
    <s v="CUST0065"/>
    <d v="2025-12-22T00:00:00"/>
    <s v="West"/>
    <s v="Surat"/>
    <s v="Home &amp; Kitchen"/>
    <x v="15"/>
    <n v="1"/>
    <n v="8800"/>
    <s v="Debit Card"/>
    <s v="Delivered"/>
    <n v="8800"/>
  </r>
  <r>
    <s v="ORD10315"/>
    <s v="CUST0074"/>
    <d v="2025-02-15T00:00:00"/>
    <s v="South"/>
    <s v="Hyderabad"/>
    <s v="Electronics"/>
    <x v="1"/>
    <n v="3"/>
    <n v="53650"/>
    <s v="Credit Card"/>
    <s v="Delivered"/>
    <n v="160950"/>
  </r>
  <r>
    <s v="ORD10316"/>
    <s v="CUST0268"/>
    <d v="2025-07-01T00:00:00"/>
    <s v="South"/>
    <s v="Vijayawada"/>
    <s v="Electronics"/>
    <x v="22"/>
    <n v="1"/>
    <n v="61700"/>
    <s v="Debit Card"/>
    <s v="Delivered"/>
    <n v="61700"/>
  </r>
  <r>
    <s v="ORD10317"/>
    <s v="CUST0272"/>
    <d v="2025-06-24T00:00:00"/>
    <s v="North"/>
    <s v="Chandigarh"/>
    <s v="Electronics"/>
    <x v="16"/>
    <n v="1"/>
    <n v="3400"/>
    <s v="Debit Card"/>
    <s v="Delivered"/>
    <n v="3400"/>
  </r>
  <r>
    <s v="ORD10318"/>
    <s v="CUST0421"/>
    <d v="2025-05-14T00:00:00"/>
    <s v="East"/>
    <s v="Patna"/>
    <s v="Electronics"/>
    <x v="17"/>
    <n v="1"/>
    <n v="37700"/>
    <s v="Credit Card"/>
    <s v="Delivered"/>
    <n v="37700"/>
  </r>
  <r>
    <s v="ORD10319"/>
    <s v="CUST0043"/>
    <d v="2025-05-15T00:00:00"/>
    <s v="South"/>
    <s v="Chennai"/>
    <s v="Home &amp; Kitchen"/>
    <x v="0"/>
    <n v="1"/>
    <n v="4800"/>
    <s v="Credit Card"/>
    <s v="Delivered"/>
    <n v="4800"/>
  </r>
  <r>
    <s v="ORD10320"/>
    <s v="CUST0059"/>
    <d v="2025-05-12T00:00:00"/>
    <s v="South"/>
    <s v="Chennai"/>
    <s v="Sports"/>
    <x v="10"/>
    <n v="2"/>
    <n v="8400"/>
    <s v="UPI"/>
    <s v="Delivered"/>
    <n v="16800"/>
  </r>
  <r>
    <s v="ORD10321"/>
    <s v="CUST0004"/>
    <d v="2025-03-31T00:00:00"/>
    <s v="South"/>
    <s v="Bengaluru"/>
    <s v="Sports"/>
    <x v="6"/>
    <n v="1"/>
    <n v="6250"/>
    <s v="UPI"/>
    <s v="Delivered"/>
    <n v="6250"/>
  </r>
  <r>
    <s v="ORD10322"/>
    <s v="CUST0059"/>
    <d v="2025-03-31T00:00:00"/>
    <s v="North"/>
    <s v="Chandigarh"/>
    <s v="Sports"/>
    <x v="6"/>
    <n v="4"/>
    <n v="5650"/>
    <s v="UPI"/>
    <s v="Delivered"/>
    <n v="22600"/>
  </r>
  <r>
    <s v="ORD10323"/>
    <s v="CUST0360"/>
    <d v="2025-03-09T00:00:00"/>
    <s v="East"/>
    <s v="Kolkata"/>
    <s v="Electronics"/>
    <x v="22"/>
    <n v="2"/>
    <n v="50950"/>
    <s v="UPI"/>
    <s v="Shipped"/>
    <n v="101900"/>
  </r>
  <r>
    <s v="ORD10324"/>
    <s v="CUST0047"/>
    <d v="2025-06-08T00:00:00"/>
    <s v="West"/>
    <s v="Mumbai"/>
    <s v="Home &amp; Kitchen"/>
    <x v="15"/>
    <n v="4"/>
    <n v="3250"/>
    <s v="UPI"/>
    <s v="Delivered"/>
    <n v="13000"/>
  </r>
  <r>
    <s v="ORD10325"/>
    <s v="CUST0434"/>
    <d v="2025-08-14T00:00:00"/>
    <s v="West"/>
    <s v="Pune"/>
    <s v="Beauty"/>
    <x v="24"/>
    <n v="2"/>
    <n v="250"/>
    <s v="Credit Card"/>
    <s v="Delivered"/>
    <n v="500"/>
  </r>
  <r>
    <s v="ORD10326"/>
    <s v="CUST0202"/>
    <d v="2025-10-29T00:00:00"/>
    <s v="East"/>
    <s v="Bhubaneswar"/>
    <s v="Electronics"/>
    <x v="16"/>
    <n v="1"/>
    <n v="5600"/>
    <s v="Cash on Delivery"/>
    <s v="Delivered"/>
    <n v="5600"/>
  </r>
  <r>
    <s v="ORD10327"/>
    <s v="CUST0331"/>
    <d v="2025-11-29T00:00:00"/>
    <s v="South"/>
    <s v="Hyderabad"/>
    <s v="Home &amp; Kitchen"/>
    <x v="9"/>
    <n v="3"/>
    <n v="4450"/>
    <s v="Debit Card"/>
    <s v="Delivered"/>
    <n v="13350"/>
  </r>
  <r>
    <s v="ORD10328"/>
    <s v="CUST0090"/>
    <d v="2025-11-28T00:00:00"/>
    <s v="West"/>
    <s v="Mumbai"/>
    <s v="Fashion"/>
    <x v="2"/>
    <n v="4"/>
    <n v="1900"/>
    <s v="Net Banking"/>
    <s v="Delivered"/>
    <n v="7600"/>
  </r>
  <r>
    <s v="ORD10329"/>
    <s v="CUST0371"/>
    <d v="2025-10-12T00:00:00"/>
    <s v="East"/>
    <s v="Patna"/>
    <s v="Electronics"/>
    <x v="7"/>
    <n v="2"/>
    <n v="5400"/>
    <s v="Net Banking"/>
    <s v="Delivered"/>
    <n v="10800"/>
  </r>
  <r>
    <s v="ORD10330"/>
    <s v="CUST0008"/>
    <d v="2025-12-18T00:00:00"/>
    <s v="West"/>
    <s v="Ahmedabad"/>
    <s v="Sports"/>
    <x v="3"/>
    <n v="5"/>
    <n v="5450"/>
    <s v="Debit Card"/>
    <s v="Delivered"/>
    <n v="27250"/>
  </r>
  <r>
    <s v="ORD10331"/>
    <s v="CUST0137"/>
    <d v="2025-03-15T00:00:00"/>
    <s v="North"/>
    <s v="Delhi"/>
    <s v="Home &amp; Kitchen"/>
    <x v="18"/>
    <n v="2"/>
    <n v="1650"/>
    <s v="Debit Card"/>
    <s v="Delivered"/>
    <n v="3300"/>
  </r>
  <r>
    <s v="ORD10332"/>
    <s v="CUST0055"/>
    <d v="2025-04-01T00:00:00"/>
    <s v="East"/>
    <s v="Bhubaneswar"/>
    <s v="Beauty"/>
    <x v="23"/>
    <n v="1"/>
    <n v="4050"/>
    <s v="Cash on Delivery"/>
    <s v="Delivered"/>
    <n v="4050"/>
  </r>
  <r>
    <s v="ORD10333"/>
    <s v="CUST0247"/>
    <d v="2025-06-04T00:00:00"/>
    <s v="South"/>
    <s v="Chennai"/>
    <s v="Electronics"/>
    <x v="1"/>
    <n v="1"/>
    <n v="58250"/>
    <s v="Cash on Delivery"/>
    <s v="Delivered"/>
    <n v="58250"/>
  </r>
  <r>
    <s v="ORD10334"/>
    <s v="CUST0099"/>
    <d v="2025-04-23T00:00:00"/>
    <s v="South"/>
    <s v="Hyderabad"/>
    <s v="Sports"/>
    <x v="19"/>
    <n v="2"/>
    <n v="5050"/>
    <s v="UPI"/>
    <s v="Delivered"/>
    <n v="10100"/>
  </r>
  <r>
    <s v="ORD10335"/>
    <s v="CUST0449"/>
    <d v="2025-04-24T00:00:00"/>
    <s v="South"/>
    <s v="Bengaluru"/>
    <s v="Home &amp; Kitchen"/>
    <x v="5"/>
    <n v="1"/>
    <n v="8950"/>
    <s v="Credit Card"/>
    <s v="Delivered"/>
    <n v="8950"/>
  </r>
  <r>
    <s v="ORD10336"/>
    <s v="CUST0193"/>
    <d v="2025-10-05T00:00:00"/>
    <s v="East"/>
    <s v="Guwahati"/>
    <s v="Sports"/>
    <x v="3"/>
    <n v="3"/>
    <n v="750"/>
    <s v="Debit Card"/>
    <s v="Delivered"/>
    <n v="2250"/>
  </r>
  <r>
    <s v="ORD10337"/>
    <s v="CUST0282"/>
    <d v="2025-04-19T00:00:00"/>
    <s v="South"/>
    <s v="Vijayawada"/>
    <s v="Sports"/>
    <x v="6"/>
    <n v="1"/>
    <n v="6050"/>
    <s v="Credit Card"/>
    <s v="Delivered"/>
    <n v="6050"/>
  </r>
  <r>
    <s v="ORD10338"/>
    <s v="CUST0109"/>
    <d v="2025-08-09T00:00:00"/>
    <s v="East"/>
    <s v="Kolkata"/>
    <s v="Home &amp; Kitchen"/>
    <x v="5"/>
    <n v="3"/>
    <n v="6950"/>
    <s v="Cash on Delivery"/>
    <s v="Delivered"/>
    <n v="20850"/>
  </r>
  <r>
    <s v="ORD10339"/>
    <s v="CUST0421"/>
    <d v="2025-07-14T00:00:00"/>
    <s v="West"/>
    <s v="Pune"/>
    <s v="Electronics"/>
    <x v="1"/>
    <n v="1"/>
    <n v="14000"/>
    <s v="UPI"/>
    <s v="Cancelled"/>
    <n v="14000"/>
  </r>
  <r>
    <s v="ORD10340"/>
    <s v="CUST0290"/>
    <d v="2025-06-30T00:00:00"/>
    <s v="East"/>
    <s v="Kolkata"/>
    <s v="Electronics"/>
    <x v="1"/>
    <n v="3"/>
    <n v="47450"/>
    <s v="UPI"/>
    <s v="Shipped"/>
    <n v="142350"/>
  </r>
  <r>
    <s v="ORD10341"/>
    <s v="CUST0326"/>
    <d v="2025-12-23T00:00:00"/>
    <s v="South"/>
    <s v="Bengaluru"/>
    <s v="Home &amp; Kitchen"/>
    <x v="0"/>
    <n v="2"/>
    <n v="5050"/>
    <s v="Credit Card"/>
    <s v="Delivered"/>
    <n v="10100"/>
  </r>
  <r>
    <s v="ORD10342"/>
    <s v="CUST0420"/>
    <d v="2025-08-27T00:00:00"/>
    <s v="South"/>
    <s v="Chennai"/>
    <s v="Beauty"/>
    <x v="20"/>
    <n v="1"/>
    <n v="4450"/>
    <s v="UPI"/>
    <s v="Delivered"/>
    <n v="4450"/>
  </r>
  <r>
    <s v="ORD10343"/>
    <s v="CUST0185"/>
    <d v="2025-02-16T00:00:00"/>
    <s v="North"/>
    <s v="Jaipur"/>
    <s v="Home &amp; Kitchen"/>
    <x v="0"/>
    <n v="3"/>
    <n v="8100"/>
    <s v="UPI"/>
    <s v="Delivered"/>
    <n v="24300"/>
  </r>
  <r>
    <s v="ORD10344"/>
    <s v="CUST0443"/>
    <d v="2025-06-11T00:00:00"/>
    <s v="North"/>
    <s v="Chandigarh"/>
    <s v="Beauty"/>
    <x v="20"/>
    <n v="1"/>
    <n v="3350"/>
    <s v="Credit Card"/>
    <s v="Delivered"/>
    <n v="3350"/>
  </r>
  <r>
    <s v="ORD10345"/>
    <s v="CUST0153"/>
    <d v="2025-05-03T00:00:00"/>
    <s v="South"/>
    <s v="Vijayawada"/>
    <s v="Beauty"/>
    <x v="14"/>
    <n v="1"/>
    <n v="400"/>
    <s v="Debit Card"/>
    <s v="Delivered"/>
    <n v="400"/>
  </r>
  <r>
    <s v="ORD10346"/>
    <s v="CUST0271"/>
    <d v="2025-04-06T00:00:00"/>
    <s v="North"/>
    <s v="Delhi"/>
    <s v="Beauty"/>
    <x v="14"/>
    <n v="5"/>
    <n v="1050"/>
    <s v="Credit Card"/>
    <s v="Delivered"/>
    <n v="5250"/>
  </r>
  <r>
    <s v="ORD10347"/>
    <s v="CUST0073"/>
    <d v="2025-05-21T00:00:00"/>
    <s v="South"/>
    <s v="Bengaluru"/>
    <s v="Electronics"/>
    <x v="7"/>
    <n v="3"/>
    <n v="47550"/>
    <s v="UPI"/>
    <s v="Shipped"/>
    <n v="142650"/>
  </r>
  <r>
    <s v="ORD10348"/>
    <s v="CUST0192"/>
    <d v="2025-03-06T00:00:00"/>
    <s v="East"/>
    <s v="Patna"/>
    <s v="Electronics"/>
    <x v="17"/>
    <n v="3"/>
    <n v="8350"/>
    <s v="Debit Card"/>
    <s v="Delivered"/>
    <n v="25050"/>
  </r>
  <r>
    <s v="ORD10349"/>
    <s v="CUST0419"/>
    <d v="2025-03-19T00:00:00"/>
    <s v="South"/>
    <s v="Vijayawada"/>
    <s v="Home &amp; Kitchen"/>
    <x v="5"/>
    <n v="4"/>
    <n v="3650"/>
    <s v="UPI"/>
    <s v="Shipped"/>
    <n v="14600"/>
  </r>
  <r>
    <s v="ORD10350"/>
    <s v="CUST0168"/>
    <d v="2025-12-05T00:00:00"/>
    <s v="North"/>
    <s v="Chandigarh"/>
    <s v="Beauty"/>
    <x v="24"/>
    <n v="2"/>
    <n v="2900"/>
    <s v="Debit Card"/>
    <s v="Delivered"/>
    <n v="5800"/>
  </r>
  <r>
    <s v="ORD10351"/>
    <s v="CUST0080"/>
    <d v="2025-02-12T00:00:00"/>
    <s v="West"/>
    <s v="Pune"/>
    <s v="Home &amp; Kitchen"/>
    <x v="0"/>
    <n v="4"/>
    <n v="1300"/>
    <s v="Debit Card"/>
    <s v="Returned"/>
    <n v="5200"/>
  </r>
  <r>
    <s v="ORD10352"/>
    <s v="CUST0007"/>
    <d v="2025-07-25T00:00:00"/>
    <s v="West"/>
    <s v="Surat"/>
    <s v="Sports"/>
    <x v="4"/>
    <n v="3"/>
    <n v="3250"/>
    <s v="Debit Card"/>
    <s v="Shipped"/>
    <n v="9750"/>
  </r>
  <r>
    <s v="ORD10353"/>
    <s v="CUST0113"/>
    <d v="2025-01-12T00:00:00"/>
    <s v="East"/>
    <s v="Patna"/>
    <s v="Fashion"/>
    <x v="12"/>
    <n v="1"/>
    <n v="7300"/>
    <s v="Debit Card"/>
    <s v="Delivered"/>
    <n v="7300"/>
  </r>
  <r>
    <s v="ORD10354"/>
    <s v="CUST0118"/>
    <d v="2025-02-28T00:00:00"/>
    <s v="South"/>
    <s v="Vijayawada"/>
    <s v="Home &amp; Kitchen"/>
    <x v="9"/>
    <n v="1"/>
    <n v="5700"/>
    <s v="Debit Card"/>
    <s v="Delivered"/>
    <n v="5700"/>
  </r>
  <r>
    <s v="ORD10355"/>
    <s v="CUST0289"/>
    <d v="2025-05-21T00:00:00"/>
    <s v="North"/>
    <s v="Lucknow"/>
    <s v="Home &amp; Kitchen"/>
    <x v="5"/>
    <n v="1"/>
    <n v="6200"/>
    <s v="UPI"/>
    <s v="Delivered"/>
    <n v="6200"/>
  </r>
  <r>
    <s v="ORD10356"/>
    <s v="CUST0057"/>
    <d v="2025-08-06T00:00:00"/>
    <s v="West"/>
    <s v="Mumbai"/>
    <s v="Beauty"/>
    <x v="8"/>
    <n v="1"/>
    <n v="700"/>
    <s v="UPI"/>
    <s v="Delivered"/>
    <n v="700"/>
  </r>
  <r>
    <s v="ORD10357"/>
    <s v="CUST0425"/>
    <d v="2025-08-07T00:00:00"/>
    <s v="South"/>
    <s v="Bengaluru"/>
    <s v="Home &amp; Kitchen"/>
    <x v="5"/>
    <n v="5"/>
    <n v="5050"/>
    <s v="Credit Card"/>
    <s v="Delivered"/>
    <n v="25250"/>
  </r>
  <r>
    <s v="ORD10358"/>
    <s v="CUST0022"/>
    <d v="2025-06-03T00:00:00"/>
    <s v="West"/>
    <s v="Pune"/>
    <s v="Fashion"/>
    <x v="12"/>
    <n v="1"/>
    <n v="4050"/>
    <s v="UPI"/>
    <s v="Delivered"/>
    <n v="4050"/>
  </r>
  <r>
    <s v="ORD10359"/>
    <s v="CUST0367"/>
    <d v="2025-11-18T00:00:00"/>
    <s v="South"/>
    <s v="Bengaluru"/>
    <s v="Fashion"/>
    <x v="12"/>
    <n v="1"/>
    <n v="900"/>
    <m/>
    <s v="Delivered"/>
    <n v="900"/>
  </r>
  <r>
    <s v="ORD10360"/>
    <s v="CUST0233"/>
    <d v="2025-04-10T00:00:00"/>
    <s v="West"/>
    <s v="Pune"/>
    <s v="Electronics"/>
    <x v="22"/>
    <n v="2"/>
    <n v="16850"/>
    <s v="Debit Card"/>
    <s v="Delivered"/>
    <n v="33700"/>
  </r>
  <r>
    <s v="ORD10361"/>
    <s v="CUST0435"/>
    <d v="2025-02-17T00:00:00"/>
    <s v="East"/>
    <s v="Kolkata"/>
    <s v="Electronics"/>
    <x v="22"/>
    <n v="1"/>
    <n v="8250"/>
    <s v="Debit Card"/>
    <s v="Delivered"/>
    <n v="8250"/>
  </r>
  <r>
    <s v="ORD10362"/>
    <s v="CUST0137"/>
    <d v="2025-06-13T00:00:00"/>
    <s v="West"/>
    <s v="Mumbai"/>
    <s v="Electronics"/>
    <x v="17"/>
    <n v="2"/>
    <n v="3950"/>
    <s v="Credit Card"/>
    <s v="Cancelled"/>
    <n v="7900"/>
  </r>
  <r>
    <s v="ORD10363"/>
    <s v="CUST0330"/>
    <d v="2025-10-10T00:00:00"/>
    <s v="North"/>
    <s v="Delhi"/>
    <s v="Sports"/>
    <x v="3"/>
    <n v="2"/>
    <n v="6350"/>
    <s v="UPI"/>
    <s v="Delivered"/>
    <n v="12700"/>
  </r>
  <r>
    <s v="ORD10364"/>
    <s v="CUST0073"/>
    <d v="2025-09-05T00:00:00"/>
    <s v="East"/>
    <s v="Kolkata"/>
    <s v="Home &amp; Kitchen"/>
    <x v="9"/>
    <n v="1"/>
    <n v="8250"/>
    <s v="UPI"/>
    <s v="Delivered"/>
    <n v="8250"/>
  </r>
  <r>
    <s v="ORD10365"/>
    <s v="CUST0111"/>
    <d v="2025-02-16T00:00:00"/>
    <s v="West"/>
    <s v="Pune"/>
    <s v="Electronics"/>
    <x v="1"/>
    <n v="1"/>
    <n v="45750"/>
    <s v="Debit Card"/>
    <s v="Shipped"/>
    <n v="45750"/>
  </r>
  <r>
    <s v="ORD10366"/>
    <s v="CUST0318"/>
    <d v="2025-11-10T00:00:00"/>
    <s v="South"/>
    <s v="Hyderabad"/>
    <s v="Electronics"/>
    <x v="7"/>
    <n v="4"/>
    <n v="5650"/>
    <s v="UPI"/>
    <s v="Delivered"/>
    <n v="22600"/>
  </r>
  <r>
    <s v="ORD10367"/>
    <s v="CUST0077"/>
    <d v="2025-06-23T00:00:00"/>
    <s v="South"/>
    <s v="Chennai"/>
    <s v="Fashion"/>
    <x v="11"/>
    <n v="3"/>
    <n v="6750"/>
    <s v="Cash on Delivery"/>
    <s v="Cancelled"/>
    <n v="20250"/>
  </r>
  <r>
    <s v="ORD10368"/>
    <s v="CUST0390"/>
    <d v="2025-04-17T00:00:00"/>
    <s v="South"/>
    <s v="Chennai"/>
    <s v="Home &amp; Kitchen"/>
    <x v="18"/>
    <n v="1"/>
    <n v="4800"/>
    <s v="Credit Card"/>
    <s v="Cancelled"/>
    <n v="4800"/>
  </r>
  <r>
    <s v="ORD10369"/>
    <s v="CUST0445"/>
    <d v="2025-02-27T00:00:00"/>
    <s v="East"/>
    <s v="Kolkata"/>
    <s v="Fashion"/>
    <x v="13"/>
    <n v="2"/>
    <n v="7200"/>
    <s v="Debit Card"/>
    <s v="Delivered"/>
    <n v="14400"/>
  </r>
  <r>
    <s v="ORD10370"/>
    <s v="CUST0354"/>
    <d v="2025-03-04T00:00:00"/>
    <s v="East"/>
    <s v="Guwahati"/>
    <s v="Electronics"/>
    <x v="17"/>
    <n v="2"/>
    <n v="29150"/>
    <s v="Net Banking"/>
    <s v="Delivered"/>
    <n v="58300"/>
  </r>
  <r>
    <s v="ORD10371"/>
    <s v="CUST0324"/>
    <d v="2025-07-26T00:00:00"/>
    <s v="West"/>
    <s v="Mumbai"/>
    <s v="Home &amp; Kitchen"/>
    <x v="9"/>
    <n v="2"/>
    <n v="2900"/>
    <s v="UPI"/>
    <s v="Delivered"/>
    <n v="5800"/>
  </r>
  <r>
    <s v="ORD10372"/>
    <s v="CUST0202"/>
    <d v="2025-12-14T00:00:00"/>
    <s v="North"/>
    <s v="Jaipur"/>
    <s v="Home &amp; Kitchen"/>
    <x v="9"/>
    <n v="4"/>
    <n v="3850"/>
    <s v="UPI"/>
    <s v="Delivered"/>
    <n v="15400"/>
  </r>
  <r>
    <s v="ORD10373"/>
    <s v="CUST0283"/>
    <d v="2025-11-08T00:00:00"/>
    <s v="West"/>
    <s v="Surat"/>
    <s v="Fashion"/>
    <x v="12"/>
    <n v="3"/>
    <n v="3800"/>
    <s v="UPI"/>
    <s v="Cancelled"/>
    <n v="11400"/>
  </r>
  <r>
    <s v="ORD10374"/>
    <s v="CUST0055"/>
    <d v="2025-12-18T00:00:00"/>
    <s v="South"/>
    <s v="Chennai"/>
    <s v="Fashion"/>
    <x v="13"/>
    <n v="3"/>
    <n v="1000"/>
    <s v="Cash on Delivery"/>
    <s v="Delivered"/>
    <n v="3000"/>
  </r>
  <r>
    <s v="ORD10375"/>
    <s v="CUST0109"/>
    <d v="2025-02-04T00:00:00"/>
    <s v="South"/>
    <s v="Bengaluru"/>
    <s v="Beauty"/>
    <x v="24"/>
    <n v="3"/>
    <n v="4700"/>
    <s v="UPI"/>
    <s v="Delivered"/>
    <n v="14100"/>
  </r>
  <r>
    <s v="ORD10376"/>
    <s v="CUST0383"/>
    <d v="2025-08-02T00:00:00"/>
    <s v="East"/>
    <s v="Bhubaneswar"/>
    <s v="Home &amp; Kitchen"/>
    <x v="18"/>
    <n v="1"/>
    <n v="8000"/>
    <s v="Credit Card"/>
    <s v="Delivered"/>
    <n v="8000"/>
  </r>
  <r>
    <s v="ORD10377"/>
    <s v="CUST0104"/>
    <d v="2025-03-26T00:00:00"/>
    <s v="North"/>
    <s v="Chandigarh"/>
    <s v="Home &amp; Kitchen"/>
    <x v="0"/>
    <n v="1"/>
    <n v="6300"/>
    <s v="UPI"/>
    <s v="Delivered"/>
    <n v="6300"/>
  </r>
  <r>
    <s v="ORD10378"/>
    <s v="CUST0122"/>
    <d v="2025-05-18T00:00:00"/>
    <s v="North"/>
    <s v="Jaipur"/>
    <s v="Beauty"/>
    <x v="23"/>
    <n v="1"/>
    <n v="2800"/>
    <s v="Credit Card"/>
    <s v="Delivered"/>
    <n v="2800"/>
  </r>
  <r>
    <s v="ORD10379"/>
    <s v="CUST0127"/>
    <d v="2025-05-27T00:00:00"/>
    <s v="South"/>
    <s v="Hyderabad"/>
    <s v="Fashion"/>
    <x v="12"/>
    <n v="1"/>
    <n v="2000"/>
    <s v="UPI"/>
    <s v="Delivered"/>
    <n v="2000"/>
  </r>
  <r>
    <s v="ORD10380"/>
    <s v="CUST0330"/>
    <d v="2025-06-24T00:00:00"/>
    <s v="North"/>
    <s v="Lucknow"/>
    <s v="Home &amp; Kitchen"/>
    <x v="15"/>
    <n v="1"/>
    <n v="5100"/>
    <s v="Credit Card"/>
    <s v="Delivered"/>
    <n v="5100"/>
  </r>
  <r>
    <s v="ORD10381"/>
    <s v="CUST0048"/>
    <d v="2025-09-02T00:00:00"/>
    <s v="North"/>
    <s v="Lucknow"/>
    <s v="Beauty"/>
    <x v="20"/>
    <n v="2"/>
    <n v="2800"/>
    <s v="UPI"/>
    <s v="Cancelled"/>
    <n v="5600"/>
  </r>
  <r>
    <s v="ORD10382"/>
    <s v="CUST0007"/>
    <d v="2025-11-10T00:00:00"/>
    <s v="North"/>
    <s v="Chandigarh"/>
    <s v="Electronics"/>
    <x v="16"/>
    <n v="1"/>
    <n v="45200"/>
    <s v="Credit Card"/>
    <s v="Cancelled"/>
    <n v="45200"/>
  </r>
  <r>
    <s v="ORD10383"/>
    <s v="CUST0117"/>
    <d v="2025-10-09T00:00:00"/>
    <s v="West"/>
    <s v="Pune"/>
    <s v="Fashion"/>
    <x v="21"/>
    <n v="1"/>
    <n v="6400"/>
    <s v="Credit Card"/>
    <s v="Delivered"/>
    <n v="6400"/>
  </r>
  <r>
    <s v="ORD10384"/>
    <s v="CUST0364"/>
    <d v="2025-04-28T00:00:00"/>
    <s v="West"/>
    <s v="Mumbai"/>
    <s v="Electronics"/>
    <x v="7"/>
    <n v="3"/>
    <n v="35150"/>
    <s v="Cash on Delivery"/>
    <s v="Shipped"/>
    <n v="105450"/>
  </r>
  <r>
    <s v="ORD10385"/>
    <s v="CUST0057"/>
    <d v="2025-08-20T00:00:00"/>
    <s v="South"/>
    <s v="Bengaluru"/>
    <s v="Beauty"/>
    <x v="20"/>
    <n v="2"/>
    <n v="2150"/>
    <s v="UPI"/>
    <s v="Delivered"/>
    <n v="4300"/>
  </r>
  <r>
    <s v="ORD10386"/>
    <s v="CUST0116"/>
    <d v="2025-11-09T00:00:00"/>
    <s v="South"/>
    <s v="Bengaluru"/>
    <s v="Electronics"/>
    <x v="22"/>
    <n v="1"/>
    <n v="31500"/>
    <s v="Debit Card"/>
    <s v="Shipped"/>
    <n v="31500"/>
  </r>
  <r>
    <s v="ORD10387"/>
    <s v="CUST0323"/>
    <d v="2025-12-05T00:00:00"/>
    <s v="South"/>
    <s v="Hyderabad"/>
    <s v="Sports"/>
    <x v="3"/>
    <n v="1"/>
    <n v="9900"/>
    <s v="Net Banking"/>
    <s v="Delivered"/>
    <n v="9900"/>
  </r>
  <r>
    <s v="ORD10388"/>
    <s v="CUST0347"/>
    <d v="2025-08-23T00:00:00"/>
    <s v="West"/>
    <s v="Surat"/>
    <s v="Electronics"/>
    <x v="1"/>
    <n v="2"/>
    <n v="30550"/>
    <s v="Debit Card"/>
    <s v="Delivered"/>
    <n v="61100"/>
  </r>
  <r>
    <s v="ORD10389"/>
    <s v="CUST0136"/>
    <d v="2025-07-20T00:00:00"/>
    <s v="South"/>
    <s v="Chennai"/>
    <s v="Sports"/>
    <x v="19"/>
    <n v="3"/>
    <n v="8150"/>
    <s v="Credit Card"/>
    <s v="Delivered"/>
    <n v="24450"/>
  </r>
  <r>
    <s v="ORD10390"/>
    <s v="CUST0192"/>
    <d v="2025-02-13T00:00:00"/>
    <s v="North"/>
    <s v="Jaipur"/>
    <s v="Fashion"/>
    <x v="21"/>
    <n v="2"/>
    <n v="6500"/>
    <s v="UPI"/>
    <s v="Delivered"/>
    <n v="13000"/>
  </r>
  <r>
    <s v="ORD10391"/>
    <s v="CUST0277"/>
    <d v="2025-03-05T00:00:00"/>
    <s v="South"/>
    <s v="Vijayawada"/>
    <s v="Beauty"/>
    <x v="23"/>
    <n v="1"/>
    <n v="2100"/>
    <s v="UPI"/>
    <s v="Delivered"/>
    <n v="2100"/>
  </r>
  <r>
    <s v="ORD10392"/>
    <s v="CUST0016"/>
    <d v="2025-01-08T00:00:00"/>
    <s v="North"/>
    <s v="Jaipur"/>
    <s v="Beauty"/>
    <x v="24"/>
    <n v="1"/>
    <n v="3850"/>
    <s v="Credit Card"/>
    <s v="Delivered"/>
    <n v="3850"/>
  </r>
  <r>
    <s v="ORD10393"/>
    <s v="CUST0336"/>
    <d v="2025-03-22T00:00:00"/>
    <s v="South"/>
    <s v="Chennai"/>
    <s v="Fashion"/>
    <x v="13"/>
    <n v="3"/>
    <n v="6950"/>
    <s v="Debit Card"/>
    <s v="Delivered"/>
    <n v="20850"/>
  </r>
  <r>
    <s v="ORD10394"/>
    <s v="CUST0239"/>
    <d v="2025-07-14T00:00:00"/>
    <s v="North"/>
    <s v="Jaipur"/>
    <s v="Fashion"/>
    <x v="11"/>
    <n v="4"/>
    <n v="3850"/>
    <s v="Credit Card"/>
    <s v="Delivered"/>
    <n v="15400"/>
  </r>
  <r>
    <s v="ORD10395"/>
    <s v="CUST0391"/>
    <d v="2025-10-05T00:00:00"/>
    <s v="South"/>
    <s v="Hyderabad"/>
    <s v="Sports"/>
    <x v="6"/>
    <n v="1"/>
    <n v="8350"/>
    <s v="UPI"/>
    <s v="Delivered"/>
    <n v="8350"/>
  </r>
  <r>
    <s v="ORD10396"/>
    <s v="CUST0340"/>
    <d v="2025-07-23T00:00:00"/>
    <s v="West"/>
    <s v="Surat"/>
    <s v="Electronics"/>
    <x v="16"/>
    <n v="5"/>
    <n v="30400"/>
    <s v="Debit Card"/>
    <s v="Delivered"/>
    <n v="152000"/>
  </r>
  <r>
    <s v="ORD10397"/>
    <s v="CUST0120"/>
    <d v="2025-10-29T00:00:00"/>
    <s v="North"/>
    <s v="Jaipur"/>
    <s v="Electronics"/>
    <x v="7"/>
    <n v="3"/>
    <n v="2850"/>
    <s v="UPI"/>
    <s v="Delivered"/>
    <n v="8550"/>
  </r>
  <r>
    <s v="ORD10398"/>
    <s v="CUST0402"/>
    <d v="2025-09-15T00:00:00"/>
    <s v="East"/>
    <s v="Patna"/>
    <s v="Fashion"/>
    <x v="13"/>
    <n v="2"/>
    <n v="4300"/>
    <s v="Credit Card"/>
    <s v="Delivered"/>
    <n v="8600"/>
  </r>
  <r>
    <s v="ORD10399"/>
    <s v="CUST0091"/>
    <d v="2025-03-02T00:00:00"/>
    <s v="North"/>
    <s v="Chandigarh"/>
    <s v="Beauty"/>
    <x v="14"/>
    <n v="3"/>
    <n v="4850"/>
    <s v="Cash on Delivery"/>
    <s v="Cancelled"/>
    <n v="14550"/>
  </r>
  <r>
    <s v="ORD10400"/>
    <s v="CUST0187"/>
    <d v="2025-10-31T00:00:00"/>
    <s v="North"/>
    <s v="Lucknow"/>
    <s v="Sports"/>
    <x v="6"/>
    <n v="1"/>
    <n v="900"/>
    <s v="UPI"/>
    <s v="Delivered"/>
    <n v="900"/>
  </r>
  <r>
    <s v="ORD10401"/>
    <s v="CUST0208"/>
    <d v="2025-07-16T00:00:00"/>
    <s v="West"/>
    <s v="Surat"/>
    <s v="Home &amp; Kitchen"/>
    <x v="5"/>
    <n v="3"/>
    <n v="600"/>
    <s v="Debit Card"/>
    <s v="Delivered"/>
    <n v="1800"/>
  </r>
  <r>
    <s v="ORD10402"/>
    <s v="CUST0427"/>
    <d v="2025-06-02T00:00:00"/>
    <s v="North"/>
    <s v="Chandigarh"/>
    <s v="Sports"/>
    <x v="3"/>
    <n v="2"/>
    <n v="9900"/>
    <s v="Credit Card"/>
    <s v="Delivered"/>
    <n v="19800"/>
  </r>
  <r>
    <s v="ORD10403"/>
    <s v="CUST0051"/>
    <d v="2025-05-29T00:00:00"/>
    <s v="East"/>
    <s v="Patna"/>
    <s v="Electronics"/>
    <x v="1"/>
    <n v="1"/>
    <n v="60450"/>
    <s v="Credit Card"/>
    <s v="Delivered"/>
    <n v="60450"/>
  </r>
  <r>
    <s v="ORD10404"/>
    <s v="CUST0402"/>
    <d v="2025-06-04T00:00:00"/>
    <s v="East"/>
    <s v="Bhubaneswar"/>
    <s v="Sports"/>
    <x v="4"/>
    <n v="2"/>
    <n v="7300"/>
    <s v="UPI"/>
    <s v="Delivered"/>
    <n v="14600"/>
  </r>
  <r>
    <s v="ORD10405"/>
    <s v="CUST0182"/>
    <d v="2025-12-05T00:00:00"/>
    <s v="South"/>
    <s v="Chennai"/>
    <s v="Fashion"/>
    <x v="11"/>
    <n v="2"/>
    <n v="1650"/>
    <s v="Debit Card"/>
    <s v="Delivered"/>
    <n v="3300"/>
  </r>
  <r>
    <s v="ORD10406"/>
    <s v="CUST0142"/>
    <d v="2025-04-22T00:00:00"/>
    <s v="North"/>
    <s v="Chandigarh"/>
    <s v="Beauty"/>
    <x v="23"/>
    <n v="1"/>
    <n v="3600"/>
    <s v="Debit Card"/>
    <s v="Shipped"/>
    <n v="3600"/>
  </r>
  <r>
    <s v="ORD10407"/>
    <s v="CUST0090"/>
    <d v="2025-04-04T00:00:00"/>
    <s v="West"/>
    <s v="Surat"/>
    <s v="Electronics"/>
    <x v="1"/>
    <n v="2"/>
    <n v="29950"/>
    <s v="Cash on Delivery"/>
    <s v="Delivered"/>
    <n v="59900"/>
  </r>
  <r>
    <s v="ORD10408"/>
    <s v="CUST0299"/>
    <d v="2025-05-30T00:00:00"/>
    <s v="North"/>
    <s v="Jaipur"/>
    <s v="Sports"/>
    <x v="3"/>
    <n v="1"/>
    <n v="6600"/>
    <s v="Debit Card"/>
    <s v="Delivered"/>
    <n v="6600"/>
  </r>
  <r>
    <s v="ORD10409"/>
    <s v="CUST0235"/>
    <d v="2025-01-07T00:00:00"/>
    <s v="North"/>
    <s v="Jaipur"/>
    <s v="Beauty"/>
    <x v="20"/>
    <n v="2"/>
    <n v="4600"/>
    <s v="UPI"/>
    <s v="Delivered"/>
    <n v="9200"/>
  </r>
  <r>
    <s v="ORD10410"/>
    <s v="CUST0179"/>
    <d v="2025-07-31T00:00:00"/>
    <s v="East"/>
    <s v="Guwahati"/>
    <s v="Fashion"/>
    <x v="12"/>
    <n v="3"/>
    <n v="3250"/>
    <s v="Cash on Delivery"/>
    <s v="Delivered"/>
    <n v="9750"/>
  </r>
  <r>
    <s v="ORD10411"/>
    <s v="CUST0380"/>
    <d v="2025-08-19T00:00:00"/>
    <s v="West"/>
    <s v="Ahmedabad"/>
    <s v="Electronics"/>
    <x v="7"/>
    <n v="4"/>
    <n v="40500"/>
    <s v="Debit Card"/>
    <s v="Delivered"/>
    <n v="162000"/>
  </r>
  <r>
    <s v="ORD10412"/>
    <s v="CUST0071"/>
    <d v="2025-12-30T00:00:00"/>
    <s v="West"/>
    <s v="Surat"/>
    <s v="Home &amp; Kitchen"/>
    <x v="15"/>
    <n v="1"/>
    <n v="8050"/>
    <s v="Credit Card"/>
    <s v="Shipped"/>
    <n v="8050"/>
  </r>
  <r>
    <s v="ORD10413"/>
    <s v="CUST0293"/>
    <d v="2025-05-06T00:00:00"/>
    <s v="North"/>
    <s v="Jaipur"/>
    <s v="Electronics"/>
    <x v="1"/>
    <n v="1"/>
    <n v="61300"/>
    <s v="Credit Card"/>
    <s v="Delivered"/>
    <n v="61300"/>
  </r>
  <r>
    <s v="ORD10414"/>
    <s v="CUST0138"/>
    <d v="2025-02-08T00:00:00"/>
    <s v="South"/>
    <s v="Vijayawada"/>
    <s v="Electronics"/>
    <x v="17"/>
    <n v="2"/>
    <n v="14050"/>
    <s v="UPI"/>
    <s v="Delivered"/>
    <n v="28100"/>
  </r>
  <r>
    <s v="ORD10415"/>
    <s v="CUST0166"/>
    <d v="2025-12-10T00:00:00"/>
    <s v="West"/>
    <s v="Surat"/>
    <s v="Home &amp; Kitchen"/>
    <x v="15"/>
    <n v="1"/>
    <n v="8800"/>
    <s v="Cash on Delivery"/>
    <s v="Delivered"/>
    <n v="8800"/>
  </r>
  <r>
    <s v="ORD10416"/>
    <s v="CUST0424"/>
    <d v="2025-05-08T00:00:00"/>
    <s v="East"/>
    <s v="Patna"/>
    <s v="Electronics"/>
    <x v="22"/>
    <n v="3"/>
    <n v="36950"/>
    <s v="UPI"/>
    <s v="Delivered"/>
    <n v="110850"/>
  </r>
  <r>
    <s v="ORD10417"/>
    <s v="CUST0313"/>
    <d v="2025-04-16T00:00:00"/>
    <s v="South"/>
    <s v="Vijayawada"/>
    <s v="Electronics"/>
    <x v="1"/>
    <n v="1"/>
    <n v="32050"/>
    <s v="Credit Card"/>
    <s v="Delivered"/>
    <n v="32050"/>
  </r>
  <r>
    <s v="ORD10418"/>
    <s v="CUST0106"/>
    <d v="2025-09-28T00:00:00"/>
    <s v="North"/>
    <s v="Delhi"/>
    <s v="Home &amp; Kitchen"/>
    <x v="5"/>
    <n v="2"/>
    <n v="3300"/>
    <s v="Net Banking"/>
    <s v="Delivered"/>
    <n v="6600"/>
  </r>
  <r>
    <s v="ORD10419"/>
    <s v="CUST0201"/>
    <d v="2025-11-28T00:00:00"/>
    <s v="East"/>
    <s v="Kolkata"/>
    <s v="Electronics"/>
    <x v="16"/>
    <n v="1"/>
    <n v="61150"/>
    <s v="Credit Card"/>
    <s v="Delivered"/>
    <n v="61150"/>
  </r>
  <r>
    <s v="ORD10420"/>
    <s v="CUST0345"/>
    <d v="2025-08-12T00:00:00"/>
    <s v="West"/>
    <s v="Mumbai"/>
    <s v="Home &amp; Kitchen"/>
    <x v="9"/>
    <n v="1"/>
    <n v="7750"/>
    <s v="UPI"/>
    <s v="Delivered"/>
    <n v="7750"/>
  </r>
  <r>
    <s v="ORD10421"/>
    <s v="CUST0095"/>
    <d v="2025-11-06T00:00:00"/>
    <s v="East"/>
    <s v="Kolkata"/>
    <s v="Electronics"/>
    <x v="16"/>
    <n v="2"/>
    <n v="12000"/>
    <s v="Credit Card"/>
    <s v="Delivered"/>
    <n v="24000"/>
  </r>
  <r>
    <s v="ORD10422"/>
    <s v="CUST0412"/>
    <d v="2025-05-11T00:00:00"/>
    <s v="West"/>
    <s v="Ahmedabad"/>
    <s v="Electronics"/>
    <x v="7"/>
    <n v="2"/>
    <n v="9800"/>
    <s v="UPI"/>
    <s v="Delivered"/>
    <n v="19600"/>
  </r>
  <r>
    <s v="ORD10423"/>
    <s v="CUST0206"/>
    <d v="2025-02-01T00:00:00"/>
    <s v="East"/>
    <s v="Guwahati"/>
    <s v="Electronics"/>
    <x v="22"/>
    <n v="4"/>
    <n v="60300"/>
    <s v="Credit Card"/>
    <s v="Delivered"/>
    <n v="241200"/>
  </r>
  <r>
    <s v="ORD10424"/>
    <s v="CUST0345"/>
    <d v="2025-05-07T00:00:00"/>
    <s v="East"/>
    <s v="Guwahati"/>
    <s v="Beauty"/>
    <x v="8"/>
    <n v="3"/>
    <n v="2850"/>
    <s v="Debit Card"/>
    <s v="Delivered"/>
    <n v="8550"/>
  </r>
  <r>
    <s v="ORD10425"/>
    <s v="CUST0433"/>
    <d v="2025-10-03T00:00:00"/>
    <s v="East"/>
    <s v="Patna"/>
    <s v="Electronics"/>
    <x v="16"/>
    <n v="2"/>
    <n v="38550"/>
    <s v="Debit Card"/>
    <s v="Delivered"/>
    <n v="77100"/>
  </r>
  <r>
    <s v="ORD10426"/>
    <s v="CUST0219"/>
    <d v="2025-04-19T00:00:00"/>
    <s v="South"/>
    <s v="Hyderabad"/>
    <s v="Home &amp; Kitchen"/>
    <x v="18"/>
    <n v="1"/>
    <n v="5100"/>
    <s v="UPI"/>
    <s v="Delivered"/>
    <n v="5100"/>
  </r>
  <r>
    <s v="ORD10427"/>
    <s v="CUST0375"/>
    <d v="2025-01-02T00:00:00"/>
    <s v="South"/>
    <s v="Chennai"/>
    <s v="Sports"/>
    <x v="10"/>
    <n v="1"/>
    <n v="6100"/>
    <s v="Debit Card"/>
    <s v="Delivered"/>
    <n v="6100"/>
  </r>
  <r>
    <s v="ORD10428"/>
    <s v="CUST0094"/>
    <d v="2025-05-29T00:00:00"/>
    <s v="West"/>
    <s v="Mumbai"/>
    <s v="Beauty"/>
    <x v="14"/>
    <n v="1"/>
    <n v="3900"/>
    <s v="Cash on Delivery"/>
    <s v="Delivered"/>
    <n v="3900"/>
  </r>
  <r>
    <s v="ORD10429"/>
    <s v="CUST0384"/>
    <d v="2025-06-29T00:00:00"/>
    <s v="North"/>
    <s v="Chandigarh"/>
    <s v="Electronics"/>
    <x v="7"/>
    <n v="1"/>
    <n v="43800"/>
    <s v="Debit Card"/>
    <s v="Delivered"/>
    <n v="43800"/>
  </r>
  <r>
    <s v="ORD10430"/>
    <s v="CUST0288"/>
    <d v="2025-09-28T00:00:00"/>
    <s v="North"/>
    <s v="Jaipur"/>
    <s v="Electronics"/>
    <x v="7"/>
    <n v="3"/>
    <n v="64750"/>
    <s v="Debit Card"/>
    <s v="Delivered"/>
    <n v="194250"/>
  </r>
  <r>
    <s v="ORD10431"/>
    <s v="CUST0042"/>
    <d v="2025-07-09T00:00:00"/>
    <s v="South"/>
    <s v="Hyderabad"/>
    <s v="Home &amp; Kitchen"/>
    <x v="0"/>
    <n v="4"/>
    <n v="1900"/>
    <s v="Debit Card"/>
    <s v="Delivered"/>
    <n v="7600"/>
  </r>
  <r>
    <s v="ORD10432"/>
    <s v="CUST0390"/>
    <d v="2025-12-08T00:00:00"/>
    <s v="West"/>
    <s v="Mumbai"/>
    <s v="Electronics"/>
    <x v="1"/>
    <n v="2"/>
    <n v="15950"/>
    <s v="Credit Card"/>
    <s v="Cancelled"/>
    <n v="31900"/>
  </r>
  <r>
    <s v="ORD10433"/>
    <s v="CUST0305"/>
    <d v="2025-05-29T00:00:00"/>
    <s v="West"/>
    <m/>
    <s v="Electronics"/>
    <x v="16"/>
    <n v="3"/>
    <n v="34450"/>
    <s v="UPI"/>
    <s v="Delivered"/>
    <n v="103350"/>
  </r>
  <r>
    <s v="ORD10434"/>
    <s v="CUST0119"/>
    <d v="2025-10-20T00:00:00"/>
    <s v="West"/>
    <s v="Ahmedabad"/>
    <s v="Sports"/>
    <x v="10"/>
    <n v="2"/>
    <n v="6300"/>
    <s v="UPI"/>
    <s v="Shipped"/>
    <n v="12600"/>
  </r>
  <r>
    <s v="ORD10435"/>
    <s v="CUST0105"/>
    <d v="2025-08-16T00:00:00"/>
    <s v="South"/>
    <s v="Hyderabad"/>
    <s v="Sports"/>
    <x v="4"/>
    <n v="4"/>
    <n v="3200"/>
    <s v="UPI"/>
    <s v="Delivered"/>
    <n v="12800"/>
  </r>
  <r>
    <s v="ORD10436"/>
    <s v="CUST0304"/>
    <d v="2025-10-23T00:00:00"/>
    <s v="South"/>
    <s v="Chennai"/>
    <s v="Fashion"/>
    <x v="12"/>
    <n v="1"/>
    <n v="1500"/>
    <s v="Cash on Delivery"/>
    <s v="Delivered"/>
    <n v="1500"/>
  </r>
  <r>
    <s v="ORD10437"/>
    <s v="CUST0184"/>
    <d v="2025-03-17T00:00:00"/>
    <s v="South"/>
    <s v="Vijayawada"/>
    <s v="Fashion"/>
    <x v="2"/>
    <n v="1"/>
    <n v="3850"/>
    <s v="UPI"/>
    <s v="Delivered"/>
    <n v="3850"/>
  </r>
  <r>
    <s v="ORD10438"/>
    <s v="CUST0404"/>
    <d v="2025-12-26T00:00:00"/>
    <s v="North"/>
    <s v="Jaipur"/>
    <s v="Electronics"/>
    <x v="16"/>
    <n v="1"/>
    <n v="12900"/>
    <s v="UPI"/>
    <s v="Cancelled"/>
    <n v="12900"/>
  </r>
  <r>
    <s v="ORD10439"/>
    <s v="CUST0181"/>
    <d v="2025-02-13T00:00:00"/>
    <s v="South"/>
    <s v="Chennai"/>
    <s v="Fashion"/>
    <x v="12"/>
    <n v="1"/>
    <n v="6150"/>
    <s v="UPI"/>
    <s v="Delivered"/>
    <n v="6150"/>
  </r>
  <r>
    <s v="ORD10440"/>
    <s v="CUST0129"/>
    <d v="2025-09-03T00:00:00"/>
    <s v="East"/>
    <s v="Bhubaneswar"/>
    <s v="Home &amp; Kitchen"/>
    <x v="5"/>
    <n v="4"/>
    <n v="8100"/>
    <s v="UPI"/>
    <s v="Delivered"/>
    <n v="32400"/>
  </r>
  <r>
    <s v="ORD10441"/>
    <s v="CUST0372"/>
    <d v="2025-10-21T00:00:00"/>
    <s v="South"/>
    <s v="Hyderabad"/>
    <s v="Electronics"/>
    <x v="1"/>
    <n v="3"/>
    <n v="56200"/>
    <s v="UPI"/>
    <s v="Delivered"/>
    <n v="168600"/>
  </r>
  <r>
    <s v="ORD10442"/>
    <s v="CUST0070"/>
    <d v="2025-04-23T00:00:00"/>
    <s v="South"/>
    <s v="Vijayawada"/>
    <s v="Fashion"/>
    <x v="11"/>
    <n v="2"/>
    <n v="6000"/>
    <s v="Credit Card"/>
    <s v="Delivered"/>
    <n v="12000"/>
  </r>
  <r>
    <s v="ORD10443"/>
    <s v="CUST0192"/>
    <d v="2025-02-09T00:00:00"/>
    <s v="West"/>
    <s v="Surat"/>
    <s v="Electronics"/>
    <x v="17"/>
    <n v="1"/>
    <n v="38100"/>
    <s v="Cash on Delivery"/>
    <s v="Delivered"/>
    <n v="38100"/>
  </r>
  <r>
    <s v="ORD10444"/>
    <s v="CUST0311"/>
    <d v="2025-02-06T00:00:00"/>
    <s v="East"/>
    <s v="Guwahati"/>
    <s v="Home &amp; Kitchen"/>
    <x v="18"/>
    <n v="3"/>
    <n v="7500"/>
    <s v="UPI"/>
    <s v="Delivered"/>
    <n v="22500"/>
  </r>
  <r>
    <s v="ORD10445"/>
    <s v="CUST0030"/>
    <d v="2025-09-24T00:00:00"/>
    <s v="West"/>
    <s v="Mumbai"/>
    <s v="Electronics"/>
    <x v="16"/>
    <n v="2"/>
    <n v="5000"/>
    <s v="Debit Card"/>
    <s v="Delivered"/>
    <n v="10000"/>
  </r>
  <r>
    <s v="ORD10446"/>
    <s v="CUST0378"/>
    <d v="2025-04-04T00:00:00"/>
    <s v="East"/>
    <s v="Kolkata"/>
    <s v="Fashion"/>
    <x v="2"/>
    <n v="1"/>
    <n v="4700"/>
    <s v="Net Banking"/>
    <s v="Shipped"/>
    <n v="4700"/>
  </r>
  <r>
    <s v="ORD10447"/>
    <s v="CUST0278"/>
    <d v="2025-02-09T00:00:00"/>
    <s v="North"/>
    <s v="Lucknow"/>
    <s v="Electronics"/>
    <x v="22"/>
    <n v="1"/>
    <n v="10000"/>
    <s v="UPI"/>
    <s v="Delivered"/>
    <n v="10000"/>
  </r>
  <r>
    <s v="ORD10448"/>
    <s v="CUST0099"/>
    <d v="2025-07-27T00:00:00"/>
    <s v="South"/>
    <s v="Chennai"/>
    <s v="Sports"/>
    <x v="19"/>
    <n v="3"/>
    <n v="7050"/>
    <s v="Debit Card"/>
    <s v="Delivered"/>
    <n v="21150"/>
  </r>
  <r>
    <s v="ORD10449"/>
    <s v="CUST0163"/>
    <d v="2025-01-14T00:00:00"/>
    <s v="South"/>
    <s v="Bengaluru"/>
    <s v="Home &amp; Kitchen"/>
    <x v="18"/>
    <n v="3"/>
    <n v="1600"/>
    <s v="UPI"/>
    <s v="Cancelled"/>
    <n v="4800"/>
  </r>
  <r>
    <s v="ORD10450"/>
    <s v="CUST0006"/>
    <d v="2025-07-16T00:00:00"/>
    <s v="North"/>
    <s v="Delhi"/>
    <s v="Home &amp; Kitchen"/>
    <x v="0"/>
    <n v="1"/>
    <n v="3600"/>
    <s v="UPI"/>
    <s v="Cancelled"/>
    <n v="3600"/>
  </r>
  <r>
    <s v="ORD10451"/>
    <s v="CUST0448"/>
    <d v="2025-08-30T00:00:00"/>
    <s v="North"/>
    <s v="Jaipur"/>
    <s v="Sports"/>
    <x v="19"/>
    <n v="1"/>
    <n v="800"/>
    <s v="Credit Card"/>
    <s v="Delivered"/>
    <n v="800"/>
  </r>
  <r>
    <s v="ORD10452"/>
    <s v="CUST0239"/>
    <d v="2025-12-03T00:00:00"/>
    <s v="East"/>
    <s v="Bhubaneswar"/>
    <s v="Sports"/>
    <x v="19"/>
    <n v="1"/>
    <n v="1150"/>
    <s v="UPI"/>
    <s v="Delivered"/>
    <n v="1150"/>
  </r>
  <r>
    <s v="ORD10453"/>
    <s v="CUST0327"/>
    <d v="2025-12-29T00:00:00"/>
    <s v="North"/>
    <s v="Chandigarh"/>
    <s v="Fashion"/>
    <x v="2"/>
    <n v="1"/>
    <n v="7550"/>
    <s v="UPI"/>
    <s v="Delivered"/>
    <n v="7550"/>
  </r>
  <r>
    <s v="ORD10454"/>
    <s v="CUST0324"/>
    <d v="2025-10-23T00:00:00"/>
    <s v="South"/>
    <s v="Hyderabad"/>
    <s v="Sports"/>
    <x v="10"/>
    <n v="2"/>
    <n v="5550"/>
    <s v="UPI"/>
    <s v="Delivered"/>
    <n v="11100"/>
  </r>
  <r>
    <s v="ORD10455"/>
    <s v="CUST0246"/>
    <d v="2025-05-16T00:00:00"/>
    <s v="East"/>
    <s v="Guwahati"/>
    <s v="Electronics"/>
    <x v="17"/>
    <n v="1"/>
    <n v="27650"/>
    <s v="Cash on Delivery"/>
    <s v="Delivered"/>
    <n v="27650"/>
  </r>
  <r>
    <s v="ORD10456"/>
    <s v="CUST0125"/>
    <d v="2025-11-09T00:00:00"/>
    <s v="South"/>
    <s v="Chennai"/>
    <s v="Fashion"/>
    <x v="12"/>
    <n v="3"/>
    <n v="2100"/>
    <s v="Net Banking"/>
    <s v="Cancelled"/>
    <n v="6300"/>
  </r>
  <r>
    <s v="ORD10457"/>
    <s v="CUST0173"/>
    <d v="2025-05-31T00:00:00"/>
    <s v="South"/>
    <s v="Bengaluru"/>
    <s v="Home &amp; Kitchen"/>
    <x v="5"/>
    <n v="1"/>
    <n v="6200"/>
    <s v="Debit Card"/>
    <s v="Shipped"/>
    <n v="6200"/>
  </r>
  <r>
    <s v="ORD10458"/>
    <s v="CUST0424"/>
    <d v="2025-04-06T00:00:00"/>
    <s v="South"/>
    <s v="Vijayawada"/>
    <s v="Sports"/>
    <x v="3"/>
    <n v="4"/>
    <n v="4100"/>
    <s v="UPI"/>
    <s v="Shipped"/>
    <n v="16400"/>
  </r>
  <r>
    <s v="ORD10459"/>
    <s v="CUST0096"/>
    <d v="2025-12-03T00:00:00"/>
    <s v="North"/>
    <s v="Chandigarh"/>
    <s v="Electronics"/>
    <x v="22"/>
    <n v="2"/>
    <n v="57550"/>
    <s v="Cash on Delivery"/>
    <s v="Delivered"/>
    <n v="115100"/>
  </r>
  <r>
    <s v="ORD10460"/>
    <s v="CUST0267"/>
    <d v="2025-09-08T00:00:00"/>
    <s v="East"/>
    <s v="Guwahati"/>
    <s v="Beauty"/>
    <x v="20"/>
    <n v="4"/>
    <n v="4050"/>
    <s v="Credit Card"/>
    <s v="Shipped"/>
    <n v="16200"/>
  </r>
  <r>
    <s v="ORD10461"/>
    <s v="CUST0202"/>
    <d v="2025-03-24T00:00:00"/>
    <s v="West"/>
    <s v="Ahmedabad"/>
    <s v="Beauty"/>
    <x v="14"/>
    <n v="1"/>
    <n v="2400"/>
    <s v="UPI"/>
    <s v="Delivered"/>
    <n v="2400"/>
  </r>
  <r>
    <s v="ORD10462"/>
    <s v="CUST0025"/>
    <d v="2025-03-15T00:00:00"/>
    <s v="South"/>
    <s v="Vijayawada"/>
    <s v="Sports"/>
    <x v="6"/>
    <n v="3"/>
    <n v="9200"/>
    <s v="UPI"/>
    <s v="Delivered"/>
    <n v="27600"/>
  </r>
  <r>
    <s v="ORD10463"/>
    <s v="CUST0226"/>
    <d v="2025-09-23T00:00:00"/>
    <s v="West"/>
    <s v="Pune"/>
    <s v="Sports"/>
    <x v="19"/>
    <n v="1"/>
    <n v="1450"/>
    <s v="Debit Card"/>
    <s v="Delivered"/>
    <n v="1450"/>
  </r>
  <r>
    <s v="ORD10464"/>
    <s v="CUST0332"/>
    <d v="2025-05-01T00:00:00"/>
    <s v="East"/>
    <s v="Bhubaneswar"/>
    <s v="Electronics"/>
    <x v="1"/>
    <n v="1"/>
    <n v="63350"/>
    <s v="UPI"/>
    <s v="Shipped"/>
    <n v="63350"/>
  </r>
  <r>
    <s v="ORD10465"/>
    <s v="CUST0441"/>
    <d v="2025-12-30T00:00:00"/>
    <s v="South"/>
    <s v="Hyderabad"/>
    <s v="Home &amp; Kitchen"/>
    <x v="9"/>
    <n v="3"/>
    <n v="350"/>
    <s v="Debit Card"/>
    <s v="Cancelled"/>
    <n v="1050"/>
  </r>
  <r>
    <s v="ORD10466"/>
    <s v="CUST0079"/>
    <d v="2025-03-13T00:00:00"/>
    <s v="West"/>
    <s v="Mumbai"/>
    <s v="Home &amp; Kitchen"/>
    <x v="5"/>
    <n v="1"/>
    <n v="5200"/>
    <s v="UPI"/>
    <s v="Delivered"/>
    <n v="5200"/>
  </r>
  <r>
    <s v="ORD10467"/>
    <s v="CUST0008"/>
    <d v="2025-11-21T00:00:00"/>
    <s v="North"/>
    <s v="Jaipur"/>
    <s v="Sports"/>
    <x v="4"/>
    <n v="1"/>
    <n v="2050"/>
    <s v="UPI"/>
    <s v="Delivered"/>
    <n v="2050"/>
  </r>
  <r>
    <s v="ORD10468"/>
    <s v="CUST0071"/>
    <d v="2025-06-29T00:00:00"/>
    <s v="North"/>
    <s v="Delhi"/>
    <s v="Electronics"/>
    <x v="17"/>
    <n v="1"/>
    <n v="41000"/>
    <s v="UPI"/>
    <s v="Delivered"/>
    <n v="41000"/>
  </r>
  <r>
    <s v="ORD10469"/>
    <s v="CUST0064"/>
    <d v="2025-06-14T00:00:00"/>
    <s v="West"/>
    <s v="Ahmedabad"/>
    <s v="Home &amp; Kitchen"/>
    <x v="0"/>
    <n v="2"/>
    <n v="3700"/>
    <s v="UPI"/>
    <s v="Delivered"/>
    <n v="7400"/>
  </r>
  <r>
    <s v="ORD10470"/>
    <s v="CUST0438"/>
    <d v="2025-12-22T00:00:00"/>
    <s v="North"/>
    <s v="Delhi"/>
    <s v="Beauty"/>
    <x v="23"/>
    <n v="1"/>
    <n v="1500"/>
    <s v="Credit Card"/>
    <s v="Delivered"/>
    <n v="1500"/>
  </r>
  <r>
    <s v="ORD10471"/>
    <s v="CUST0367"/>
    <d v="2025-11-25T00:00:00"/>
    <s v="West"/>
    <s v="Mumbai"/>
    <s v="Fashion"/>
    <x v="12"/>
    <n v="5"/>
    <n v="2250"/>
    <s v="UPI"/>
    <s v="Delivered"/>
    <n v="11250"/>
  </r>
  <r>
    <s v="ORD10472"/>
    <s v="CUST0338"/>
    <d v="2025-01-05T00:00:00"/>
    <s v="West"/>
    <s v="Surat"/>
    <s v="Electronics"/>
    <x v="1"/>
    <n v="3"/>
    <n v="43950"/>
    <s v="Debit Card"/>
    <s v="Shipped"/>
    <n v="131850"/>
  </r>
  <r>
    <s v="ORD10473"/>
    <s v="CUST0095"/>
    <d v="2025-05-15T00:00:00"/>
    <s v="South"/>
    <s v="Bengaluru"/>
    <s v="Electronics"/>
    <x v="1"/>
    <n v="5"/>
    <n v="2950"/>
    <s v="UPI"/>
    <s v="Delivered"/>
    <n v="14750"/>
  </r>
  <r>
    <s v="ORD10474"/>
    <s v="CUST0288"/>
    <d v="2025-11-18T00:00:00"/>
    <s v="West"/>
    <s v="Surat"/>
    <s v="Electronics"/>
    <x v="22"/>
    <n v="2"/>
    <n v="49700"/>
    <s v="Debit Card"/>
    <s v="Returned"/>
    <n v="99400"/>
  </r>
  <r>
    <s v="ORD10475"/>
    <s v="CUST0415"/>
    <d v="2025-04-17T00:00:00"/>
    <s v="North"/>
    <s v="Chandigarh"/>
    <s v="Home &amp; Kitchen"/>
    <x v="5"/>
    <n v="2"/>
    <n v="6050"/>
    <s v="Debit Card"/>
    <s v="Delivered"/>
    <n v="12100"/>
  </r>
  <r>
    <s v="ORD10476"/>
    <s v="CUST0348"/>
    <d v="2025-11-17T00:00:00"/>
    <s v="North"/>
    <s v="Chandigarh"/>
    <s v="Electronics"/>
    <x v="1"/>
    <n v="2"/>
    <n v="39500"/>
    <s v="UPI"/>
    <s v="Delivered"/>
    <n v="79000"/>
  </r>
  <r>
    <s v="ORD10477"/>
    <s v="CUST0306"/>
    <d v="2025-06-20T00:00:00"/>
    <s v="West"/>
    <s v="Pune"/>
    <s v="Fashion"/>
    <x v="21"/>
    <n v="2"/>
    <n v="5000"/>
    <s v="UPI"/>
    <s v="Delivered"/>
    <n v="10000"/>
  </r>
  <r>
    <s v="ORD10478"/>
    <s v="CUST0182"/>
    <d v="2025-01-30T00:00:00"/>
    <s v="South"/>
    <s v="Bengaluru"/>
    <s v="Sports"/>
    <x v="10"/>
    <n v="4"/>
    <n v="8950"/>
    <s v="Debit Card"/>
    <s v="Delivered"/>
    <n v="35800"/>
  </r>
  <r>
    <s v="ORD10479"/>
    <s v="CUST0374"/>
    <d v="2025-02-11T00:00:00"/>
    <s v="West"/>
    <s v="Mumbai"/>
    <s v="Home &amp; Kitchen"/>
    <x v="15"/>
    <n v="4"/>
    <n v="4300"/>
    <s v="UPI"/>
    <s v="Delivered"/>
    <n v="17200"/>
  </r>
  <r>
    <s v="ORD10480"/>
    <s v="CUST0089"/>
    <d v="2025-11-18T00:00:00"/>
    <s v="West"/>
    <s v="Surat"/>
    <s v="Electronics"/>
    <x v="16"/>
    <n v="1"/>
    <n v="45800"/>
    <s v="Net Banking"/>
    <s v="Delivered"/>
    <n v="45800"/>
  </r>
  <r>
    <s v="ORD10481"/>
    <s v="CUST0066"/>
    <d v="2025-11-17T00:00:00"/>
    <s v="North"/>
    <s v="Delhi"/>
    <s v="Home &amp; Kitchen"/>
    <x v="18"/>
    <n v="3"/>
    <n v="5700"/>
    <s v="Cash on Delivery"/>
    <s v="Delivered"/>
    <n v="17100"/>
  </r>
  <r>
    <s v="ORD10482"/>
    <s v="CUST0101"/>
    <d v="2025-06-05T00:00:00"/>
    <s v="South"/>
    <s v="Chennai"/>
    <s v="Fashion"/>
    <x v="2"/>
    <n v="3"/>
    <n v="5200"/>
    <s v="Credit Card"/>
    <s v="Shipped"/>
    <n v="15600"/>
  </r>
  <r>
    <s v="ORD10483"/>
    <s v="CUST0150"/>
    <d v="2025-02-05T00:00:00"/>
    <s v="South"/>
    <s v="Bengaluru"/>
    <s v="Electronics"/>
    <x v="16"/>
    <n v="1"/>
    <n v="54700"/>
    <s v="Cash on Delivery"/>
    <s v="Shipped"/>
    <n v="54700"/>
  </r>
  <r>
    <s v="ORD10484"/>
    <s v="CUST0151"/>
    <d v="2025-12-31T00:00:00"/>
    <s v="East"/>
    <s v="Kolkata"/>
    <s v="Sports"/>
    <x v="6"/>
    <n v="3"/>
    <n v="3400"/>
    <s v="Debit Card"/>
    <s v="Delivered"/>
    <n v="10200"/>
  </r>
  <r>
    <s v="ORD10485"/>
    <s v="CUST0400"/>
    <d v="2025-12-03T00:00:00"/>
    <s v="East"/>
    <s v="Kolkata"/>
    <s v="Electronics"/>
    <x v="1"/>
    <n v="2"/>
    <n v="41450"/>
    <s v="UPI"/>
    <s v="Delivered"/>
    <n v="82900"/>
  </r>
  <r>
    <s v="ORD10486"/>
    <s v="CUST0261"/>
    <d v="2025-04-19T00:00:00"/>
    <s v="South"/>
    <s v="Vijayawada"/>
    <s v="Fashion"/>
    <x v="21"/>
    <n v="4"/>
    <n v="6600"/>
    <s v="Credit Card"/>
    <s v="Delivered"/>
    <n v="26400"/>
  </r>
  <r>
    <s v="ORD10487"/>
    <s v="CUST0438"/>
    <d v="2025-07-09T00:00:00"/>
    <s v="South"/>
    <s v="Chennai"/>
    <s v="Sports"/>
    <x v="10"/>
    <n v="2"/>
    <n v="500"/>
    <s v="UPI"/>
    <s v="Delivered"/>
    <n v="1000"/>
  </r>
  <r>
    <s v="ORD10488"/>
    <s v="CUST0450"/>
    <d v="2025-11-21T00:00:00"/>
    <s v="East"/>
    <s v="Patna"/>
    <s v="Fashion"/>
    <x v="21"/>
    <n v="2"/>
    <n v="7250"/>
    <s v="Cash on Delivery"/>
    <s v="Delivered"/>
    <n v="14500"/>
  </r>
  <r>
    <s v="ORD10489"/>
    <s v="CUST0344"/>
    <d v="2025-02-23T00:00:00"/>
    <s v="North"/>
    <s v="Delhi"/>
    <s v="Home &amp; Kitchen"/>
    <x v="18"/>
    <n v="1"/>
    <n v="3000"/>
    <s v="UPI"/>
    <s v="Returned"/>
    <n v="3000"/>
  </r>
  <r>
    <s v="ORD10490"/>
    <s v="CUST0413"/>
    <d v="2025-12-06T00:00:00"/>
    <s v="East"/>
    <s v="Patna"/>
    <s v="Sports"/>
    <x v="10"/>
    <n v="1"/>
    <n v="8200"/>
    <s v="UPI"/>
    <s v="Delivered"/>
    <n v="8200"/>
  </r>
  <r>
    <s v="ORD10491"/>
    <s v="CUST0109"/>
    <d v="2025-10-03T00:00:00"/>
    <s v="West"/>
    <s v="Mumbai"/>
    <s v="Fashion"/>
    <x v="21"/>
    <n v="1"/>
    <n v="5200"/>
    <s v="Credit Card"/>
    <s v="Delivered"/>
    <n v="5200"/>
  </r>
  <r>
    <s v="ORD10492"/>
    <s v="CUST0086"/>
    <d v="2025-02-21T00:00:00"/>
    <s v="North"/>
    <s v="Lucknow"/>
    <s v="Beauty"/>
    <x v="23"/>
    <n v="2"/>
    <n v="3700"/>
    <s v="UPI"/>
    <s v="Delivered"/>
    <n v="7400"/>
  </r>
  <r>
    <s v="ORD10493"/>
    <s v="CUST0407"/>
    <d v="2025-10-26T00:00:00"/>
    <s v="East"/>
    <s v="Patna"/>
    <s v="Home &amp; Kitchen"/>
    <x v="0"/>
    <n v="2"/>
    <n v="2250"/>
    <s v="Credit Card"/>
    <s v="Delivered"/>
    <n v="4500"/>
  </r>
  <r>
    <s v="ORD10494"/>
    <s v="CUST0267"/>
    <d v="2025-06-03T00:00:00"/>
    <s v="South"/>
    <s v="Chennai"/>
    <s v="Electronics"/>
    <x v="7"/>
    <n v="5"/>
    <n v="54200"/>
    <s v="Credit Card"/>
    <s v="Delivered"/>
    <n v="271000"/>
  </r>
  <r>
    <s v="ORD10495"/>
    <s v="CUST0220"/>
    <d v="2025-03-06T00:00:00"/>
    <s v="South"/>
    <s v="Chennai"/>
    <s v="Home &amp; Kitchen"/>
    <x v="9"/>
    <n v="1"/>
    <n v="2650"/>
    <s v="Credit Card"/>
    <s v="Delivered"/>
    <n v="2650"/>
  </r>
  <r>
    <s v="ORD10496"/>
    <s v="CUST0154"/>
    <d v="2025-12-24T00:00:00"/>
    <s v="South"/>
    <s v="Chennai"/>
    <s v="Sports"/>
    <x v="10"/>
    <n v="2"/>
    <n v="3950"/>
    <s v="Credit Card"/>
    <s v="Delivered"/>
    <n v="7900"/>
  </r>
  <r>
    <s v="ORD10497"/>
    <s v="CUST0118"/>
    <d v="2025-02-23T00:00:00"/>
    <s v="East"/>
    <s v="Kolkata"/>
    <s v="Fashion"/>
    <x v="12"/>
    <n v="1"/>
    <n v="550"/>
    <s v="UPI"/>
    <s v="Delivered"/>
    <n v="550"/>
  </r>
  <r>
    <s v="ORD10498"/>
    <s v="CUST0429"/>
    <d v="2025-10-06T00:00:00"/>
    <s v="North"/>
    <s v="Delhi"/>
    <s v="Home &amp; Kitchen"/>
    <x v="15"/>
    <n v="1"/>
    <n v="6150"/>
    <s v="Credit Card"/>
    <s v="Delivered"/>
    <n v="6150"/>
  </r>
  <r>
    <s v="ORD10499"/>
    <s v="CUST0035"/>
    <d v="2025-10-13T00:00:00"/>
    <s v="East"/>
    <s v="Bhubaneswar"/>
    <s v="Home &amp; Kitchen"/>
    <x v="9"/>
    <n v="1"/>
    <n v="7400"/>
    <s v="UPI"/>
    <s v="Delivered"/>
    <n v="7400"/>
  </r>
  <r>
    <s v="ORD10500"/>
    <s v="CUST0358"/>
    <d v="2025-04-16T00:00:00"/>
    <s v="North"/>
    <s v="Jaipur"/>
    <s v="Home &amp; Kitchen"/>
    <x v="9"/>
    <n v="3"/>
    <n v="8500"/>
    <s v="Credit Card"/>
    <s v="Returned"/>
    <n v="25500"/>
  </r>
  <r>
    <s v="ORD10501"/>
    <s v="CUST0337"/>
    <d v="2025-07-29T00:00:00"/>
    <s v="North"/>
    <s v="Chandigarh"/>
    <s v="Fashion"/>
    <x v="21"/>
    <n v="1"/>
    <n v="3400"/>
    <s v="Credit Card"/>
    <s v="Delivered"/>
    <n v="3400"/>
  </r>
  <r>
    <s v="ORD10502"/>
    <s v="CUST0236"/>
    <d v="2025-07-07T00:00:00"/>
    <s v="North"/>
    <s v="Lucknow"/>
    <s v="Electronics"/>
    <x v="22"/>
    <n v="1"/>
    <n v="34450"/>
    <s v="Cash on Delivery"/>
    <s v="Delivered"/>
    <n v="34450"/>
  </r>
  <r>
    <s v="ORD10503"/>
    <s v="CUST0291"/>
    <d v="2025-01-08T00:00:00"/>
    <s v="West"/>
    <s v="Pune"/>
    <s v="Electronics"/>
    <x v="7"/>
    <n v="2"/>
    <n v="4450"/>
    <s v="Credit Card"/>
    <s v="Cancelled"/>
    <n v="8900"/>
  </r>
  <r>
    <s v="ORD10504"/>
    <s v="CUST0413"/>
    <d v="2025-01-16T00:00:00"/>
    <s v="South"/>
    <s v="Vijayawada"/>
    <s v="Home &amp; Kitchen"/>
    <x v="9"/>
    <n v="2"/>
    <n v="950"/>
    <s v="Cash on Delivery"/>
    <s v="Delivered"/>
    <n v="1900"/>
  </r>
  <r>
    <s v="ORD10505"/>
    <s v="CUST0132"/>
    <d v="2025-01-30T00:00:00"/>
    <s v="North"/>
    <s v="Chandigarh"/>
    <s v="Fashion"/>
    <x v="12"/>
    <n v="2"/>
    <n v="5050"/>
    <s v="UPI"/>
    <s v="Delivered"/>
    <n v="10100"/>
  </r>
  <r>
    <s v="ORD10506"/>
    <s v="CUST0257"/>
    <d v="2025-12-12T00:00:00"/>
    <s v="West"/>
    <s v="Surat"/>
    <s v="Electronics"/>
    <x v="1"/>
    <n v="3"/>
    <n v="54000"/>
    <s v="UPI"/>
    <s v="Cancelled"/>
    <n v="162000"/>
  </r>
  <r>
    <s v="ORD10507"/>
    <s v="CUST0357"/>
    <d v="2025-01-30T00:00:00"/>
    <s v="North"/>
    <s v="Chandigarh"/>
    <s v="Sports"/>
    <x v="6"/>
    <n v="1"/>
    <n v="900"/>
    <s v="Credit Card"/>
    <s v="Delivered"/>
    <n v="900"/>
  </r>
  <r>
    <s v="ORD10508"/>
    <s v="CUST0247"/>
    <d v="2025-01-29T00:00:00"/>
    <s v="South"/>
    <s v="Vijayawada"/>
    <s v="Fashion"/>
    <x v="13"/>
    <n v="1"/>
    <n v="7600"/>
    <s v="Net Banking"/>
    <s v="Delivered"/>
    <n v="7600"/>
  </r>
  <r>
    <s v="ORD10509"/>
    <s v="CUST0210"/>
    <d v="2025-08-24T00:00:00"/>
    <s v="North"/>
    <s v="Chandigarh"/>
    <s v="Home &amp; Kitchen"/>
    <x v="0"/>
    <n v="1"/>
    <n v="450"/>
    <s v="UPI"/>
    <s v="Delivered"/>
    <n v="450"/>
  </r>
  <r>
    <s v="ORD10510"/>
    <s v="CUST0098"/>
    <d v="2025-04-03T00:00:00"/>
    <s v="North"/>
    <s v="Lucknow"/>
    <s v="Beauty"/>
    <x v="24"/>
    <n v="1"/>
    <n v="1150"/>
    <s v="UPI"/>
    <s v="Delivered"/>
    <n v="1150"/>
  </r>
  <r>
    <s v="ORD10511"/>
    <s v="CUST0351"/>
    <d v="2025-06-16T00:00:00"/>
    <s v="East"/>
    <s v="Bhubaneswar"/>
    <s v="Electronics"/>
    <x v="22"/>
    <n v="1"/>
    <n v="30650"/>
    <s v="UPI"/>
    <s v="Delivered"/>
    <n v="30650"/>
  </r>
  <r>
    <s v="ORD10512"/>
    <s v="CUST0042"/>
    <d v="2025-02-22T00:00:00"/>
    <s v="South"/>
    <s v="Hyderabad"/>
    <s v="Fashion"/>
    <x v="2"/>
    <n v="1"/>
    <n v="4750"/>
    <s v="UPI"/>
    <s v="Delivered"/>
    <n v="4750"/>
  </r>
  <r>
    <s v="ORD10513"/>
    <s v="CUST0348"/>
    <d v="2025-01-29T00:00:00"/>
    <s v="North"/>
    <s v="Jaipur"/>
    <s v="Fashion"/>
    <x v="11"/>
    <n v="1"/>
    <n v="1000"/>
    <s v="UPI"/>
    <s v="Delivered"/>
    <n v="1000"/>
  </r>
  <r>
    <s v="ORD10514"/>
    <s v="CUST0175"/>
    <d v="2025-06-28T00:00:00"/>
    <s v="North"/>
    <s v="Delhi"/>
    <s v="Home &amp; Kitchen"/>
    <x v="15"/>
    <n v="3"/>
    <n v="8600"/>
    <s v="UPI"/>
    <s v="Delivered"/>
    <n v="25800"/>
  </r>
  <r>
    <s v="ORD10514"/>
    <s v="CUST0327"/>
    <d v="2025-01-15T00:00:00"/>
    <s v="North"/>
    <s v="Chandigarh"/>
    <s v="Electronics"/>
    <x v="16"/>
    <n v="3"/>
    <n v="37100"/>
    <s v="Credit Card"/>
    <s v="Returned"/>
    <n v="111300"/>
  </r>
  <r>
    <s v="ORD10516"/>
    <s v="CUST0200"/>
    <d v="2025-11-02T00:00:00"/>
    <s v="South"/>
    <s v="Vijayawada"/>
    <s v="Beauty"/>
    <x v="24"/>
    <n v="1"/>
    <n v="2700"/>
    <s v="UPI"/>
    <s v="Delivered"/>
    <n v="2700"/>
  </r>
  <r>
    <s v="ORD10517"/>
    <s v="CUST0427"/>
    <d v="2025-01-25T00:00:00"/>
    <s v="West"/>
    <s v="Pune"/>
    <s v="Electronics"/>
    <x v="7"/>
    <n v="1"/>
    <n v="34050"/>
    <s v="UPI"/>
    <s v="Returned"/>
    <n v="34050"/>
  </r>
  <r>
    <s v="ORD10518"/>
    <s v="CUST0155"/>
    <d v="2025-06-09T00:00:00"/>
    <s v="South"/>
    <s v="Vijayawada"/>
    <s v="Electronics"/>
    <x v="16"/>
    <n v="1"/>
    <n v="5650"/>
    <s v="Debit Card"/>
    <s v="Delivered"/>
    <n v="5650"/>
  </r>
  <r>
    <s v="ORD10519"/>
    <s v="CUST0280"/>
    <d v="2025-04-04T00:00:00"/>
    <s v="North"/>
    <s v="Chandigarh"/>
    <s v="Home &amp; Kitchen"/>
    <x v="15"/>
    <n v="1"/>
    <n v="1800"/>
    <s v="Net Banking"/>
    <s v="Delivered"/>
    <n v="1800"/>
  </r>
  <r>
    <s v="ORD10520"/>
    <s v="CUST0175"/>
    <d v="2025-11-15T00:00:00"/>
    <s v="South"/>
    <s v="Bengaluru"/>
    <s v="Home &amp; Kitchen"/>
    <x v="0"/>
    <n v="1"/>
    <n v="5650"/>
    <s v="Credit Card"/>
    <s v="Delivered"/>
    <n v="5650"/>
  </r>
  <r>
    <s v="ORD10521"/>
    <s v="CUST0014"/>
    <d v="2025-02-14T00:00:00"/>
    <s v="South"/>
    <s v="Hyderabad"/>
    <s v="Beauty"/>
    <x v="20"/>
    <n v="3"/>
    <n v="3300"/>
    <s v="UPI"/>
    <s v="Delivered"/>
    <n v="9900"/>
  </r>
  <r>
    <s v="ORD10522"/>
    <s v="CUST0439"/>
    <d v="2025-08-08T00:00:00"/>
    <s v="West"/>
    <s v="Ahmedabad"/>
    <s v="Electronics"/>
    <x v="7"/>
    <n v="1"/>
    <n v="63600"/>
    <s v="Debit Card"/>
    <s v="Delivered"/>
    <n v="63600"/>
  </r>
  <r>
    <s v="ORD10523"/>
    <s v="CUST0098"/>
    <d v="2025-05-07T00:00:00"/>
    <s v="South"/>
    <s v="Vijayawada"/>
    <s v="Home &amp; Kitchen"/>
    <x v="9"/>
    <n v="3"/>
    <n v="7300"/>
    <s v="UPI"/>
    <s v="Delivered"/>
    <n v="21900"/>
  </r>
  <r>
    <s v="ORD10524"/>
    <s v="CUST0046"/>
    <d v="2025-11-24T00:00:00"/>
    <s v="West"/>
    <s v="Surat"/>
    <s v="Home &amp; Kitchen"/>
    <x v="0"/>
    <n v="1"/>
    <n v="8950"/>
    <s v="Debit Card"/>
    <s v="Delivered"/>
    <n v="8950"/>
  </r>
  <r>
    <s v="ORD10525"/>
    <s v="CUST0427"/>
    <d v="2025-12-29T00:00:00"/>
    <s v="North"/>
    <s v="Delhi"/>
    <s v="Electronics"/>
    <x v="16"/>
    <n v="1"/>
    <n v="64450"/>
    <s v="UPI"/>
    <s v="Delivered"/>
    <n v="64450"/>
  </r>
  <r>
    <s v="ORD10526"/>
    <s v="CUST0428"/>
    <d v="2025-03-29T00:00:00"/>
    <s v="West"/>
    <s v="Ahmedabad"/>
    <s v="Home &amp; Kitchen"/>
    <x v="0"/>
    <n v="2"/>
    <n v="2400"/>
    <s v="UPI"/>
    <s v="Delivered"/>
    <n v="4800"/>
  </r>
  <r>
    <s v="ORD10527"/>
    <s v="CUST0313"/>
    <d v="2025-10-14T00:00:00"/>
    <s v="South"/>
    <s v="Bengaluru"/>
    <s v="Beauty"/>
    <x v="8"/>
    <n v="2"/>
    <n v="400"/>
    <s v="UPI"/>
    <s v="Delivered"/>
    <n v="800"/>
  </r>
  <r>
    <s v="ORD10528"/>
    <s v="CUST0450"/>
    <d v="2025-01-25T00:00:00"/>
    <s v="North"/>
    <s v="Lucknow"/>
    <s v="Electronics"/>
    <x v="16"/>
    <n v="4"/>
    <n v="21100"/>
    <s v="UPI"/>
    <s v="Delivered"/>
    <n v="84400"/>
  </r>
  <r>
    <s v="ORD10529"/>
    <s v="CUST0259"/>
    <d v="2025-12-21T00:00:00"/>
    <s v="North"/>
    <s v="Delhi"/>
    <s v="Home &amp; Kitchen"/>
    <x v="18"/>
    <n v="1"/>
    <n v="2350"/>
    <s v="UPI"/>
    <s v="Delivered"/>
    <n v="2350"/>
  </r>
  <r>
    <s v="ORD10530"/>
    <s v="CUST0153"/>
    <d v="2025-05-06T00:00:00"/>
    <s v="West"/>
    <s v="Mumbai"/>
    <s v="Electronics"/>
    <x v="1"/>
    <n v="1"/>
    <n v="23950"/>
    <s v="UPI"/>
    <s v="Delivered"/>
    <n v="23950"/>
  </r>
  <r>
    <s v="ORD10531"/>
    <s v="CUST0129"/>
    <d v="2025-02-11T00:00:00"/>
    <s v="South"/>
    <s v="Hyderabad"/>
    <s v="Fashion"/>
    <x v="13"/>
    <n v="1"/>
    <n v="6550"/>
    <s v="Debit Card"/>
    <s v="Cancelled"/>
    <n v="6550"/>
  </r>
  <r>
    <s v="ORD10532"/>
    <s v="CUST0122"/>
    <d v="2025-03-11T00:00:00"/>
    <s v="South"/>
    <s v="Vijayawada"/>
    <s v="Electronics"/>
    <x v="22"/>
    <n v="1"/>
    <n v="16550"/>
    <s v="Credit Card"/>
    <s v="Delivered"/>
    <n v="16550"/>
  </r>
  <r>
    <s v="ORD10533"/>
    <s v="CUST0381"/>
    <d v="2025-11-25T00:00:00"/>
    <s v="South"/>
    <s v="Bengaluru"/>
    <s v="Fashion"/>
    <x v="12"/>
    <n v="2"/>
    <n v="6250"/>
    <s v="Credit Card"/>
    <s v="Delivered"/>
    <n v="12500"/>
  </r>
  <r>
    <s v="ORD10534"/>
    <s v="CUST0377"/>
    <d v="2025-11-04T00:00:00"/>
    <s v="West"/>
    <s v="Mumbai"/>
    <s v="Fashion"/>
    <x v="2"/>
    <n v="1"/>
    <n v="2750"/>
    <s v="UPI"/>
    <s v="Delivered"/>
    <n v="2750"/>
  </r>
  <r>
    <s v="ORD10535"/>
    <s v="CUST0189"/>
    <d v="2025-04-05T00:00:00"/>
    <s v="North"/>
    <s v="Jaipur"/>
    <s v="Beauty"/>
    <x v="20"/>
    <n v="3"/>
    <n v="4450"/>
    <s v="UPI"/>
    <s v="Delivered"/>
    <n v="13350"/>
  </r>
  <r>
    <s v="ORD10536"/>
    <s v="CUST0298"/>
    <d v="2025-06-13T00:00:00"/>
    <s v="South"/>
    <s v="Bengaluru"/>
    <s v="Electronics"/>
    <x v="1"/>
    <n v="1"/>
    <n v="4350"/>
    <s v="UPI"/>
    <s v="Cancelled"/>
    <n v="4350"/>
  </r>
  <r>
    <s v="ORD10537"/>
    <s v="CUST0279"/>
    <d v="2025-04-13T00:00:00"/>
    <s v="South"/>
    <s v="Vijayawada"/>
    <s v="Fashion"/>
    <x v="2"/>
    <n v="3"/>
    <n v="6150"/>
    <s v="UPI"/>
    <s v="Delivered"/>
    <n v="18450"/>
  </r>
  <r>
    <s v="ORD10538"/>
    <s v="CUST0276"/>
    <d v="2025-08-24T00:00:00"/>
    <s v="East"/>
    <s v="Bhubaneswar"/>
    <s v="Sports"/>
    <x v="6"/>
    <n v="3"/>
    <n v="4050"/>
    <s v="UPI"/>
    <s v="Delivered"/>
    <n v="12150"/>
  </r>
  <r>
    <s v="ORD10539"/>
    <s v="CUST0099"/>
    <d v="2025-03-23T00:00:00"/>
    <s v="West"/>
    <s v="Mumbai"/>
    <s v="Electronics"/>
    <x v="16"/>
    <n v="2"/>
    <n v="28250"/>
    <s v="Debit Card"/>
    <s v="Delivered"/>
    <n v="56500"/>
  </r>
  <r>
    <s v="ORD10540"/>
    <s v="CUST0384"/>
    <d v="2025-08-04T00:00:00"/>
    <s v="West"/>
    <s v="Ahmedabad"/>
    <s v="Electronics"/>
    <x v="17"/>
    <n v="1"/>
    <n v="26300"/>
    <s v="Credit Card"/>
    <s v="Cancelled"/>
    <n v="26300"/>
  </r>
  <r>
    <s v="ORD10541"/>
    <s v="CUST0305"/>
    <d v="2025-05-24T00:00:00"/>
    <s v="South"/>
    <s v="Chennai"/>
    <s v="Sports"/>
    <x v="19"/>
    <n v="1"/>
    <n v="8550"/>
    <s v="Net Banking"/>
    <s v="Delivered"/>
    <n v="8550"/>
  </r>
  <r>
    <s v="ORD10542"/>
    <s v="CUST0007"/>
    <d v="2025-06-04T00:00:00"/>
    <s v="South"/>
    <s v="Vijayawada"/>
    <s v="Home &amp; Kitchen"/>
    <x v="9"/>
    <n v="2"/>
    <n v="5500"/>
    <s v="Credit Card"/>
    <s v="Cancelled"/>
    <n v="11000"/>
  </r>
  <r>
    <s v="ORD10543"/>
    <s v="CUST0174"/>
    <d v="2025-06-01T00:00:00"/>
    <s v="South"/>
    <s v="Vijayawada"/>
    <s v="Beauty"/>
    <x v="23"/>
    <n v="3"/>
    <n v="650"/>
    <s v="UPI"/>
    <s v="Delivered"/>
    <n v="1950"/>
  </r>
  <r>
    <s v="ORD10544"/>
    <s v="CUST0021"/>
    <d v="2025-02-23T00:00:00"/>
    <s v="South"/>
    <s v="Vijayawada"/>
    <s v="Electronics"/>
    <x v="1"/>
    <n v="3"/>
    <n v="52300"/>
    <s v="UPI"/>
    <s v="Returned"/>
    <n v="156900"/>
  </r>
  <r>
    <s v="ORD10545"/>
    <s v="CUST0157"/>
    <d v="2025-07-10T00:00:00"/>
    <s v="West"/>
    <m/>
    <s v="Fashion"/>
    <x v="12"/>
    <n v="3"/>
    <n v="2600"/>
    <s v="Cash on Delivery"/>
    <s v="Returned"/>
    <n v="7800"/>
  </r>
  <r>
    <s v="ORD10546"/>
    <s v="CUST0230"/>
    <d v="2025-06-21T00:00:00"/>
    <s v="West"/>
    <s v="Ahmedabad"/>
    <s v="Electronics"/>
    <x v="17"/>
    <n v="1"/>
    <n v="11550"/>
    <s v="Debit Card"/>
    <s v="Delivered"/>
    <n v="11550"/>
  </r>
  <r>
    <s v="ORD10547"/>
    <s v="CUST0209"/>
    <d v="2025-08-15T00:00:00"/>
    <s v="East"/>
    <s v="Kolkata"/>
    <s v="Electronics"/>
    <x v="1"/>
    <n v="1"/>
    <n v="41600"/>
    <s v="Credit Card"/>
    <s v="Delivered"/>
    <n v="41600"/>
  </r>
  <r>
    <s v="ORD10548"/>
    <s v="CUST0095"/>
    <d v="2025-09-30T00:00:00"/>
    <s v="West"/>
    <s v="Pune"/>
    <s v="Beauty"/>
    <x v="8"/>
    <n v="1"/>
    <n v="2150"/>
    <s v="Debit Card"/>
    <s v="Cancelled"/>
    <n v="2150"/>
  </r>
  <r>
    <s v="ORD10549"/>
    <s v="CUST0050"/>
    <d v="2025-10-19T00:00:00"/>
    <s v="South"/>
    <s v="Bengaluru"/>
    <s v="Home &amp; Kitchen"/>
    <x v="15"/>
    <n v="1"/>
    <n v="2950"/>
    <s v="UPI"/>
    <s v="Delivered"/>
    <n v="2950"/>
  </r>
  <r>
    <s v="ORD10550"/>
    <s v="CUST0222"/>
    <d v="2025-08-29T00:00:00"/>
    <s v="West"/>
    <s v="Mumbai"/>
    <s v="Electronics"/>
    <x v="1"/>
    <n v="3"/>
    <n v="19900"/>
    <s v="Credit Card"/>
    <s v="Delivered"/>
    <n v="59700"/>
  </r>
  <r>
    <s v="ORD10551"/>
    <s v="CUST0415"/>
    <d v="2025-07-11T00:00:00"/>
    <s v="South"/>
    <s v="Vijayawada"/>
    <s v="Electronics"/>
    <x v="22"/>
    <n v="1"/>
    <n v="34600"/>
    <s v="UPI"/>
    <s v="Delivered"/>
    <n v="34600"/>
  </r>
  <r>
    <s v="ORD10552"/>
    <s v="CUST0445"/>
    <d v="2025-09-02T00:00:00"/>
    <s v="South"/>
    <s v="Hyderabad"/>
    <s v="Fashion"/>
    <x v="12"/>
    <n v="3"/>
    <n v="3850"/>
    <s v="Credit Card"/>
    <s v="Delivered"/>
    <n v="11550"/>
  </r>
  <r>
    <s v="ORD10553"/>
    <s v="CUST0132"/>
    <d v="2025-03-26T00:00:00"/>
    <s v="East"/>
    <s v="Bhubaneswar"/>
    <s v="Beauty"/>
    <x v="20"/>
    <n v="1"/>
    <n v="3450"/>
    <s v="UPI"/>
    <s v="Delivered"/>
    <n v="3450"/>
  </r>
  <r>
    <s v="ORD10554"/>
    <s v="CUST0201"/>
    <d v="2025-07-16T00:00:00"/>
    <s v="East"/>
    <s v="Kolkata"/>
    <s v="Fashion"/>
    <x v="13"/>
    <n v="1"/>
    <n v="2350"/>
    <s v="Credit Card"/>
    <s v="Delivered"/>
    <n v="2350"/>
  </r>
  <r>
    <s v="ORD10555"/>
    <s v="CUST0251"/>
    <d v="2025-04-07T00:00:00"/>
    <s v="South"/>
    <s v="Vijayawada"/>
    <s v="Sports"/>
    <x v="3"/>
    <n v="1"/>
    <n v="5350"/>
    <s v="Cash on Delivery"/>
    <s v="Delivered"/>
    <n v="5350"/>
  </r>
  <r>
    <s v="ORD10556"/>
    <s v="CUST0032"/>
    <d v="2025-06-10T00:00:00"/>
    <s v="South"/>
    <s v="Hyderabad"/>
    <s v="Beauty"/>
    <x v="14"/>
    <n v="2"/>
    <n v="750"/>
    <s v="UPI"/>
    <s v="Delivered"/>
    <n v="1500"/>
  </r>
  <r>
    <s v="ORD10557"/>
    <s v="CUST0056"/>
    <d v="2025-04-23T00:00:00"/>
    <s v="West"/>
    <s v="Surat"/>
    <s v="Beauty"/>
    <x v="14"/>
    <n v="1"/>
    <n v="4950"/>
    <s v="UPI"/>
    <s v="Delivered"/>
    <n v="4950"/>
  </r>
  <r>
    <s v="ORD10558"/>
    <s v="CUST0407"/>
    <d v="2025-07-01T00:00:00"/>
    <s v="North"/>
    <s v="Delhi"/>
    <s v="Home &amp; Kitchen"/>
    <x v="5"/>
    <n v="2"/>
    <n v="4150"/>
    <s v="Credit Card"/>
    <s v="Shipped"/>
    <n v="8300"/>
  </r>
  <r>
    <s v="ORD10559"/>
    <s v="CUST0193"/>
    <d v="2025-03-09T00:00:00"/>
    <s v="North"/>
    <s v="Chandigarh"/>
    <s v="Electronics"/>
    <x v="22"/>
    <n v="2"/>
    <n v="64300"/>
    <s v="Net Banking"/>
    <s v="Delivered"/>
    <n v="128600"/>
  </r>
  <r>
    <s v="ORD10560"/>
    <s v="CUST0435"/>
    <d v="2025-07-03T00:00:00"/>
    <s v="East"/>
    <s v="Kolkata"/>
    <s v="Sports"/>
    <x v="4"/>
    <n v="1"/>
    <n v="7200"/>
    <s v="UPI"/>
    <s v="Delivered"/>
    <n v="7200"/>
  </r>
  <r>
    <s v="ORD10561"/>
    <s v="CUST0083"/>
    <d v="2025-11-15T00:00:00"/>
    <s v="East"/>
    <s v="Bhubaneswar"/>
    <s v="Beauty"/>
    <x v="23"/>
    <n v="4"/>
    <n v="4950"/>
    <s v="UPI"/>
    <s v="Delivered"/>
    <n v="19800"/>
  </r>
  <r>
    <s v="ORD10562"/>
    <s v="CUST0042"/>
    <d v="2025-04-08T00:00:00"/>
    <s v="North"/>
    <s v="Jaipur"/>
    <s v="Electronics"/>
    <x v="17"/>
    <n v="5"/>
    <n v="28900"/>
    <s v="Cash on Delivery"/>
    <s v="Delivered"/>
    <n v="144500"/>
  </r>
  <r>
    <s v="ORD10563"/>
    <s v="CUST0056"/>
    <d v="2025-02-26T00:00:00"/>
    <s v="South"/>
    <s v="Hyderabad"/>
    <s v="Sports"/>
    <x v="3"/>
    <n v="2"/>
    <n v="3500"/>
    <s v="Cash on Delivery"/>
    <s v="Cancelled"/>
    <n v="7000"/>
  </r>
  <r>
    <s v="ORD10564"/>
    <s v="CUST0219"/>
    <d v="2025-10-04T00:00:00"/>
    <s v="West"/>
    <s v="Mumbai"/>
    <s v="Electronics"/>
    <x v="1"/>
    <n v="2"/>
    <n v="53500"/>
    <s v="UPI"/>
    <s v="Returned"/>
    <n v="107000"/>
  </r>
  <r>
    <s v="ORD10565"/>
    <s v="CUST0171"/>
    <d v="2025-09-30T00:00:00"/>
    <s v="North"/>
    <s v="Jaipur"/>
    <s v="Sports"/>
    <x v="4"/>
    <n v="2"/>
    <n v="650"/>
    <s v="Debit Card"/>
    <s v="Cancelled"/>
    <n v="1300"/>
  </r>
  <r>
    <s v="ORD10566"/>
    <s v="CUST0327"/>
    <d v="2025-04-06T00:00:00"/>
    <s v="West"/>
    <s v="Surat"/>
    <s v="Beauty"/>
    <x v="23"/>
    <n v="1"/>
    <n v="1600"/>
    <s v="Credit Card"/>
    <s v="Delivered"/>
    <n v="1600"/>
  </r>
  <r>
    <s v="ORD10567"/>
    <s v="CUST0438"/>
    <d v="2025-08-27T00:00:00"/>
    <s v="South"/>
    <s v="Hyderabad"/>
    <s v="Fashion"/>
    <x v="11"/>
    <n v="3"/>
    <n v="4250"/>
    <s v="Debit Card"/>
    <s v="Delivered"/>
    <n v="12750"/>
  </r>
  <r>
    <s v="ORD10568"/>
    <s v="CUST0027"/>
    <d v="2025-10-09T00:00:00"/>
    <s v="South"/>
    <s v="Hyderabad"/>
    <s v="Fashion"/>
    <x v="12"/>
    <n v="4"/>
    <n v="1800"/>
    <s v="UPI"/>
    <s v="Delivered"/>
    <n v="7200"/>
  </r>
  <r>
    <s v="ORD10569"/>
    <s v="CUST0336"/>
    <d v="2025-03-28T00:00:00"/>
    <s v="South"/>
    <s v="Vijayawada"/>
    <s v="Beauty"/>
    <x v="23"/>
    <n v="2"/>
    <n v="750"/>
    <s v="Credit Card"/>
    <s v="Shipped"/>
    <n v="1500"/>
  </r>
  <r>
    <s v="ORD10570"/>
    <s v="CUST0071"/>
    <d v="2025-01-03T00:00:00"/>
    <s v="South"/>
    <s v="Chennai"/>
    <s v="Fashion"/>
    <x v="21"/>
    <n v="2"/>
    <n v="5200"/>
    <s v="Credit Card"/>
    <s v="Delivered"/>
    <n v="10400"/>
  </r>
  <r>
    <s v="ORD10571"/>
    <s v="CUST0071"/>
    <d v="2025-03-31T00:00:00"/>
    <s v="East"/>
    <s v="Kolkata"/>
    <s v="Sports"/>
    <x v="3"/>
    <n v="1"/>
    <n v="3700"/>
    <s v="Debit Card"/>
    <s v="Delivered"/>
    <n v="3700"/>
  </r>
  <r>
    <s v="ORD10572"/>
    <s v="CUST0448"/>
    <d v="2025-07-23T00:00:00"/>
    <s v="North"/>
    <s v="Chandigarh"/>
    <s v="Fashion"/>
    <x v="2"/>
    <n v="1"/>
    <n v="1400"/>
    <s v="UPI"/>
    <s v="Delivered"/>
    <n v="1400"/>
  </r>
  <r>
    <s v="ORD10573"/>
    <s v="CUST0130"/>
    <d v="2025-05-07T00:00:00"/>
    <s v="North"/>
    <s v="Jaipur"/>
    <s v="Fashion"/>
    <x v="13"/>
    <n v="1"/>
    <n v="6650"/>
    <s v="Credit Card"/>
    <s v="Shipped"/>
    <n v="6650"/>
  </r>
  <r>
    <s v="ORD10574"/>
    <s v="CUST0025"/>
    <d v="2025-04-11T00:00:00"/>
    <s v="South"/>
    <s v="Chennai"/>
    <s v="Electronics"/>
    <x v="16"/>
    <n v="1"/>
    <n v="27200"/>
    <s v="Credit Card"/>
    <s v="Shipped"/>
    <n v="27200"/>
  </r>
  <r>
    <s v="ORD10575"/>
    <s v="CUST0313"/>
    <d v="2025-05-10T00:00:00"/>
    <s v="North"/>
    <s v="Delhi"/>
    <s v="Home &amp; Kitchen"/>
    <x v="0"/>
    <n v="1"/>
    <n v="5000"/>
    <s v="Credit Card"/>
    <s v="Delivered"/>
    <n v="5000"/>
  </r>
  <r>
    <s v="ORD10576"/>
    <s v="CUST0442"/>
    <d v="2025-07-22T00:00:00"/>
    <s v="South"/>
    <s v="Hyderabad"/>
    <s v="Home &amp; Kitchen"/>
    <x v="15"/>
    <n v="1"/>
    <n v="3250"/>
    <s v="Credit Card"/>
    <s v="Delivered"/>
    <n v="3250"/>
  </r>
  <r>
    <s v="ORD10577"/>
    <s v="CUST0045"/>
    <d v="2025-03-23T00:00:00"/>
    <s v="East"/>
    <s v="Guwahati"/>
    <s v="Electronics"/>
    <x v="22"/>
    <n v="3"/>
    <n v="5900"/>
    <s v="Debit Card"/>
    <s v="Delivered"/>
    <n v="17700"/>
  </r>
  <r>
    <s v="ORD10578"/>
    <s v="CUST0265"/>
    <d v="2025-07-24T00:00:00"/>
    <s v="South"/>
    <s v="Vijayawada"/>
    <s v="Electronics"/>
    <x v="7"/>
    <n v="2"/>
    <n v="61900"/>
    <s v="Credit Card"/>
    <s v="Cancelled"/>
    <n v="123800"/>
  </r>
  <r>
    <s v="ORD10579"/>
    <s v="CUST0433"/>
    <d v="2025-12-04T00:00:00"/>
    <s v="South"/>
    <s v="Chennai"/>
    <s v="Electronics"/>
    <x v="17"/>
    <n v="2"/>
    <n v="6300"/>
    <s v="Debit Card"/>
    <s v="Delivered"/>
    <n v="12600"/>
  </r>
  <r>
    <s v="ORD10580"/>
    <s v="CUST0131"/>
    <d v="2025-12-29T00:00:00"/>
    <s v="South"/>
    <s v="Bengaluru"/>
    <s v="Sports"/>
    <x v="10"/>
    <n v="1"/>
    <n v="5750"/>
    <s v="Credit Card"/>
    <s v="Delivered"/>
    <n v="5750"/>
  </r>
  <r>
    <s v="ORD10581"/>
    <s v="CUST0408"/>
    <d v="2025-07-08T00:00:00"/>
    <s v="South"/>
    <s v="Vijayawada"/>
    <s v="Beauty"/>
    <x v="24"/>
    <n v="2"/>
    <n v="4000"/>
    <s v="UPI"/>
    <s v="Delivered"/>
    <n v="8000"/>
  </r>
  <r>
    <s v="ORD10582"/>
    <s v="CUST0134"/>
    <d v="2025-05-28T00:00:00"/>
    <s v="South"/>
    <s v="Bengaluru"/>
    <s v="Beauty"/>
    <x v="14"/>
    <n v="1"/>
    <n v="500"/>
    <s v="Credit Card"/>
    <s v="Delivered"/>
    <n v="500"/>
  </r>
  <r>
    <s v="ORD10583"/>
    <s v="CUST0063"/>
    <d v="2025-03-09T00:00:00"/>
    <s v="South"/>
    <s v="Bengaluru"/>
    <s v="Electronics"/>
    <x v="7"/>
    <n v="1"/>
    <n v="13800"/>
    <s v="Debit Card"/>
    <s v="Delivered"/>
    <n v="13800"/>
  </r>
  <r>
    <s v="ORD10584"/>
    <s v="CUST0216"/>
    <d v="2025-04-08T00:00:00"/>
    <s v="West"/>
    <s v="Surat"/>
    <s v="Beauty"/>
    <x v="8"/>
    <n v="3"/>
    <n v="2500"/>
    <s v="Credit Card"/>
    <s v="Delivered"/>
    <n v="7500"/>
  </r>
  <r>
    <s v="ORD10585"/>
    <s v="CUST0337"/>
    <d v="2025-09-11T00:00:00"/>
    <s v="South"/>
    <s v="Vijayawada"/>
    <s v="Fashion"/>
    <x v="21"/>
    <n v="1"/>
    <n v="800"/>
    <s v="UPI"/>
    <s v="Delivered"/>
    <n v="800"/>
  </r>
  <r>
    <s v="ORD10586"/>
    <s v="CUST0078"/>
    <d v="2025-09-29T00:00:00"/>
    <s v="South"/>
    <s v="Chennai"/>
    <s v="Electronics"/>
    <x v="22"/>
    <n v="2"/>
    <n v="61050"/>
    <s v="Debit Card"/>
    <s v="Shipped"/>
    <n v="122100"/>
  </r>
  <r>
    <s v="ORD10587"/>
    <s v="CUST0246"/>
    <d v="2025-08-10T00:00:00"/>
    <s v="West"/>
    <s v="Pune"/>
    <s v="Home &amp; Kitchen"/>
    <x v="15"/>
    <n v="1"/>
    <n v="4600"/>
    <s v="UPI"/>
    <s v="Shipped"/>
    <n v="4600"/>
  </r>
  <r>
    <s v="ORD10588"/>
    <s v="CUST0143"/>
    <d v="2025-07-11T00:00:00"/>
    <s v="South"/>
    <s v="Chennai"/>
    <s v="Home &amp; Kitchen"/>
    <x v="9"/>
    <n v="1"/>
    <n v="7700"/>
    <s v="UPI"/>
    <s v="Delivered"/>
    <n v="7700"/>
  </r>
  <r>
    <s v="ORD10589"/>
    <s v="CUST0328"/>
    <d v="2025-05-29T00:00:00"/>
    <s v="West"/>
    <s v="Mumbai"/>
    <s v="Sports"/>
    <x v="6"/>
    <n v="1"/>
    <n v="1650"/>
    <s v="UPI"/>
    <s v="Delivered"/>
    <n v="1650"/>
  </r>
  <r>
    <s v="ORD10590"/>
    <s v="CUST0119"/>
    <d v="2025-08-26T00:00:00"/>
    <s v="West"/>
    <s v="Ahmedabad"/>
    <s v="Sports"/>
    <x v="3"/>
    <n v="1"/>
    <n v="3400"/>
    <s v="Debit Card"/>
    <s v="Delivered"/>
    <n v="3400"/>
  </r>
  <r>
    <s v="ORD10591"/>
    <s v="CUST0426"/>
    <d v="2025-12-20T00:00:00"/>
    <s v="West"/>
    <s v="Mumbai"/>
    <s v="Fashion"/>
    <x v="11"/>
    <n v="3"/>
    <n v="6400"/>
    <s v="Credit Card"/>
    <s v="Delivered"/>
    <n v="19200"/>
  </r>
  <r>
    <s v="ORD10592"/>
    <s v="CUST0125"/>
    <d v="2025-11-03T00:00:00"/>
    <s v="East"/>
    <s v="Kolkata"/>
    <s v="Home &amp; Kitchen"/>
    <x v="18"/>
    <n v="1"/>
    <n v="1350"/>
    <s v="Debit Card"/>
    <s v="Delivered"/>
    <n v="1350"/>
  </r>
  <r>
    <s v="ORD10593"/>
    <s v="CUST0212"/>
    <d v="2025-04-22T00:00:00"/>
    <s v="West"/>
    <s v="Mumbai"/>
    <s v="Home &amp; Kitchen"/>
    <x v="18"/>
    <n v="1"/>
    <n v="3800"/>
    <s v="UPI"/>
    <s v="Delivered"/>
    <n v="3800"/>
  </r>
  <r>
    <s v="ORD10594"/>
    <s v="CUST0306"/>
    <d v="2025-06-16T00:00:00"/>
    <s v="North"/>
    <s v="Delhi"/>
    <s v="Electronics"/>
    <x v="16"/>
    <n v="1"/>
    <n v="43050"/>
    <s v="UPI"/>
    <s v="Delivered"/>
    <n v="43050"/>
  </r>
  <r>
    <s v="ORD10595"/>
    <s v="CUST0446"/>
    <d v="2025-05-25T00:00:00"/>
    <s v="South"/>
    <s v="Bengaluru"/>
    <s v="Sports"/>
    <x v="19"/>
    <n v="3"/>
    <n v="8450"/>
    <s v="UPI"/>
    <s v="Shipped"/>
    <n v="25350"/>
  </r>
  <r>
    <s v="ORD10596"/>
    <s v="CUST0289"/>
    <d v="2025-01-18T00:00:00"/>
    <s v="South"/>
    <s v="Vijayawada"/>
    <s v="Fashion"/>
    <x v="12"/>
    <n v="1"/>
    <n v="2950"/>
    <s v="UPI"/>
    <s v="Delivered"/>
    <n v="2950"/>
  </r>
  <r>
    <s v="ORD10597"/>
    <s v="CUST0032"/>
    <d v="2025-08-22T00:00:00"/>
    <s v="North"/>
    <s v="Chandigarh"/>
    <s v="Electronics"/>
    <x v="7"/>
    <n v="1"/>
    <n v="16100"/>
    <s v="Credit Card"/>
    <s v="Delivered"/>
    <n v="16100"/>
  </r>
  <r>
    <s v="ORD10598"/>
    <s v="CUST0232"/>
    <d v="2025-10-16T00:00:00"/>
    <s v="West"/>
    <s v="Mumbai"/>
    <s v="Fashion"/>
    <x v="12"/>
    <n v="3"/>
    <n v="800"/>
    <s v="UPI"/>
    <s v="Delivered"/>
    <n v="2400"/>
  </r>
  <r>
    <s v="ORD10599"/>
    <s v="CUST0110"/>
    <d v="2025-09-11T00:00:00"/>
    <s v="South"/>
    <s v="Hyderabad"/>
    <s v="Sports"/>
    <x v="3"/>
    <n v="1"/>
    <n v="900"/>
    <s v="Credit Card"/>
    <s v="Delivered"/>
    <n v="900"/>
  </r>
  <r>
    <s v="ORD10600"/>
    <s v="CUST0164"/>
    <d v="2025-06-10T00:00:00"/>
    <s v="East"/>
    <s v="Kolkata"/>
    <s v="Home &amp; Kitchen"/>
    <x v="0"/>
    <n v="3"/>
    <n v="1100"/>
    <s v="Net Banking"/>
    <s v="Returned"/>
    <n v="3300"/>
  </r>
  <r>
    <s v="ORD10601"/>
    <s v="CUST0208"/>
    <d v="2025-11-17T00:00:00"/>
    <s v="South"/>
    <s v="Chennai"/>
    <s v="Fashion"/>
    <x v="13"/>
    <n v="1"/>
    <n v="5600"/>
    <s v="UPI"/>
    <s v="Delivered"/>
    <n v="5600"/>
  </r>
  <r>
    <s v="ORD10602"/>
    <s v="CUST0339"/>
    <d v="2025-10-12T00:00:00"/>
    <s v="South"/>
    <s v="Vijayawada"/>
    <s v="Electronics"/>
    <x v="22"/>
    <n v="2"/>
    <n v="11750"/>
    <s v="UPI"/>
    <s v="Delivered"/>
    <n v="23500"/>
  </r>
  <r>
    <s v="ORD10603"/>
    <s v="CUST0258"/>
    <d v="2025-05-07T00:00:00"/>
    <s v="South"/>
    <s v="Chennai"/>
    <s v="Electronics"/>
    <x v="1"/>
    <n v="1"/>
    <n v="7100"/>
    <s v="Net Banking"/>
    <s v="Delivered"/>
    <n v="7100"/>
  </r>
  <r>
    <s v="ORD10604"/>
    <s v="CUST0397"/>
    <d v="2025-01-05T00:00:00"/>
    <s v="East"/>
    <s v="Guwahati"/>
    <s v="Fashion"/>
    <x v="11"/>
    <n v="2"/>
    <n v="1350"/>
    <s v="Debit Card"/>
    <s v="Delivered"/>
    <n v="2700"/>
  </r>
  <r>
    <s v="ORD10605"/>
    <s v="CUST0412"/>
    <d v="2025-12-21T00:00:00"/>
    <s v="West"/>
    <s v="Mumbai"/>
    <s v="Electronics"/>
    <x v="17"/>
    <n v="3"/>
    <n v="21050"/>
    <s v="Credit Card"/>
    <s v="Delivered"/>
    <n v="63150"/>
  </r>
  <r>
    <s v="ORD10606"/>
    <s v="CUST0341"/>
    <d v="2025-08-25T00:00:00"/>
    <s v="West"/>
    <s v="Mumbai"/>
    <s v="Home &amp; Kitchen"/>
    <x v="15"/>
    <n v="2"/>
    <n v="2100"/>
    <s v="Net Banking"/>
    <s v="Returned"/>
    <n v="4200"/>
  </r>
  <r>
    <s v="ORD10607"/>
    <s v="CUST0336"/>
    <d v="2025-06-08T00:00:00"/>
    <s v="East"/>
    <s v="Kolkata"/>
    <s v="Electronics"/>
    <x v="1"/>
    <n v="1"/>
    <n v="9100"/>
    <s v="Debit Card"/>
    <s v="Delivered"/>
    <n v="9100"/>
  </r>
  <r>
    <s v="ORD10608"/>
    <s v="CUST0438"/>
    <d v="2025-09-01T00:00:00"/>
    <s v="South"/>
    <s v="Bengaluru"/>
    <s v="Electronics"/>
    <x v="7"/>
    <n v="3"/>
    <n v="53200"/>
    <s v="UPI"/>
    <s v="Delivered"/>
    <n v="159600"/>
  </r>
  <r>
    <s v="ORD10609"/>
    <s v="CUST0075"/>
    <d v="2025-02-11T00:00:00"/>
    <s v="South"/>
    <s v="Bengaluru"/>
    <s v="Home &amp; Kitchen"/>
    <x v="9"/>
    <n v="1"/>
    <n v="1900"/>
    <s v="Credit Card"/>
    <s v="Shipped"/>
    <n v="1900"/>
  </r>
  <r>
    <s v="ORD10610"/>
    <s v="CUST0143"/>
    <d v="2025-06-15T00:00:00"/>
    <s v="South"/>
    <s v="Vijayawada"/>
    <s v="Home &amp; Kitchen"/>
    <x v="0"/>
    <n v="4"/>
    <n v="5750"/>
    <s v="Net Banking"/>
    <s v="Delivered"/>
    <n v="23000"/>
  </r>
  <r>
    <s v="ORD10611"/>
    <s v="CUST0292"/>
    <d v="2025-10-08T00:00:00"/>
    <s v="North"/>
    <s v="Lucknow"/>
    <s v="Home &amp; Kitchen"/>
    <x v="0"/>
    <n v="4"/>
    <n v="2050"/>
    <s v="Cash on Delivery"/>
    <s v="Delivered"/>
    <n v="8200"/>
  </r>
  <r>
    <s v="ORD10612"/>
    <s v="CUST0121"/>
    <d v="2025-08-14T00:00:00"/>
    <s v="West"/>
    <s v="Ahmedabad"/>
    <s v="Home &amp; Kitchen"/>
    <x v="5"/>
    <n v="3"/>
    <n v="5850"/>
    <s v="Debit Card"/>
    <s v="Delivered"/>
    <n v="17550"/>
  </r>
  <r>
    <s v="ORD10613"/>
    <s v="CUST0069"/>
    <d v="2025-12-20T00:00:00"/>
    <s v="North"/>
    <s v="Lucknow"/>
    <s v="Beauty"/>
    <x v="23"/>
    <n v="2"/>
    <n v="2350"/>
    <s v="UPI"/>
    <s v="Delivered"/>
    <n v="4700"/>
  </r>
  <r>
    <s v="ORD10614"/>
    <s v="CUST0049"/>
    <d v="2025-10-21T00:00:00"/>
    <s v="South"/>
    <s v="Chennai"/>
    <s v="Home &amp; Kitchen"/>
    <x v="5"/>
    <n v="2"/>
    <n v="750"/>
    <s v="Cash on Delivery"/>
    <s v="Delivered"/>
    <n v="1500"/>
  </r>
  <r>
    <s v="ORD10615"/>
    <s v="CUST0382"/>
    <d v="2025-08-27T00:00:00"/>
    <s v="West"/>
    <s v="Mumbai"/>
    <s v="Beauty"/>
    <x v="23"/>
    <n v="1"/>
    <n v="3000"/>
    <s v="Net Banking"/>
    <s v="Delivered"/>
    <n v="3000"/>
  </r>
  <r>
    <s v="ORD10616"/>
    <s v="CUST0399"/>
    <d v="2025-01-27T00:00:00"/>
    <s v="North"/>
    <s v="Lucknow"/>
    <s v="Home &amp; Kitchen"/>
    <x v="9"/>
    <n v="2"/>
    <n v="8200"/>
    <s v="Credit Card"/>
    <s v="Shipped"/>
    <n v="16400"/>
  </r>
  <r>
    <s v="ORD10617"/>
    <s v="CUST0305"/>
    <d v="2025-03-17T00:00:00"/>
    <s v="North"/>
    <s v="Lucknow"/>
    <s v="Home &amp; Kitchen"/>
    <x v="15"/>
    <n v="1"/>
    <n v="6350"/>
    <s v="Cash on Delivery"/>
    <s v="Delivered"/>
    <n v="6350"/>
  </r>
  <r>
    <s v="ORD10618"/>
    <s v="CUST0016"/>
    <d v="2025-06-14T00:00:00"/>
    <s v="East"/>
    <s v="Patna"/>
    <s v="Fashion"/>
    <x v="2"/>
    <n v="1"/>
    <n v="2100"/>
    <s v="UPI"/>
    <s v="Shipped"/>
    <n v="2100"/>
  </r>
  <r>
    <s v="ORD10619"/>
    <s v="CUST0308"/>
    <d v="2025-01-19T00:00:00"/>
    <s v="North"/>
    <s v="Delhi"/>
    <s v="Home &amp; Kitchen"/>
    <x v="18"/>
    <n v="2"/>
    <n v="5950"/>
    <s v="UPI"/>
    <s v="Delivered"/>
    <n v="11900"/>
  </r>
  <r>
    <s v="ORD10620"/>
    <s v="CUST0297"/>
    <d v="2025-08-19T00:00:00"/>
    <s v="South"/>
    <s v="Vijayawada"/>
    <s v="Home &amp; Kitchen"/>
    <x v="18"/>
    <n v="3"/>
    <n v="3550"/>
    <s v="UPI"/>
    <s v="Delivered"/>
    <n v="10650"/>
  </r>
  <r>
    <s v="ORD10621"/>
    <s v="CUST0231"/>
    <d v="2025-03-19T00:00:00"/>
    <s v="South"/>
    <s v="Chennai"/>
    <s v="Sports"/>
    <x v="3"/>
    <n v="1"/>
    <n v="9850"/>
    <s v="UPI"/>
    <s v="Delivered"/>
    <n v="9850"/>
  </r>
  <r>
    <s v="ORD10622"/>
    <s v="CUST0166"/>
    <d v="2025-06-20T00:00:00"/>
    <s v="South"/>
    <s v="Hyderabad"/>
    <s v="Electronics"/>
    <x v="16"/>
    <n v="1"/>
    <n v="50500"/>
    <s v="Credit Card"/>
    <s v="Delivered"/>
    <n v="50500"/>
  </r>
  <r>
    <s v="ORD10623"/>
    <s v="CUST0378"/>
    <d v="2025-04-18T00:00:00"/>
    <s v="North"/>
    <s v="Delhi"/>
    <s v="Electronics"/>
    <x v="17"/>
    <n v="3"/>
    <n v="49700"/>
    <s v="Credit Card"/>
    <s v="Delivered"/>
    <n v="149100"/>
  </r>
  <r>
    <s v="ORD10624"/>
    <s v="CUST0372"/>
    <d v="2025-07-01T00:00:00"/>
    <s v="East"/>
    <s v="Bhubaneswar"/>
    <s v="Home &amp; Kitchen"/>
    <x v="18"/>
    <n v="4"/>
    <n v="4500"/>
    <s v="UPI"/>
    <s v="Cancelled"/>
    <n v="18000"/>
  </r>
  <r>
    <s v="ORD10625"/>
    <s v="CUST0237"/>
    <d v="2025-10-04T00:00:00"/>
    <s v="South"/>
    <s v="Bengaluru"/>
    <s v="Sports"/>
    <x v="6"/>
    <n v="4"/>
    <n v="3600"/>
    <s v="Cash on Delivery"/>
    <s v="Delivered"/>
    <n v="14400"/>
  </r>
  <r>
    <s v="ORD10626"/>
    <s v="CUST0184"/>
    <d v="2025-07-17T00:00:00"/>
    <s v="West"/>
    <s v="Mumbai"/>
    <s v="Home &amp; Kitchen"/>
    <x v="9"/>
    <n v="1"/>
    <n v="4700"/>
    <s v="UPI"/>
    <s v="Delivered"/>
    <n v="4700"/>
  </r>
  <r>
    <s v="ORD10627"/>
    <s v="CUST0191"/>
    <d v="2025-02-11T00:00:00"/>
    <s v="South"/>
    <s v="Hyderabad"/>
    <s v="Home &amp; Kitchen"/>
    <x v="0"/>
    <n v="3"/>
    <n v="300"/>
    <s v="Net Banking"/>
    <s v="Delivered"/>
    <n v="900"/>
  </r>
  <r>
    <s v="ORD10628"/>
    <s v="CUST0423"/>
    <d v="2025-09-03T00:00:00"/>
    <s v="West"/>
    <s v="Ahmedabad"/>
    <s v="Sports"/>
    <x v="4"/>
    <n v="1"/>
    <n v="2950"/>
    <s v="Debit Card"/>
    <s v="Delivered"/>
    <n v="2950"/>
  </r>
  <r>
    <s v="ORD10629"/>
    <s v="CUST0216"/>
    <d v="2025-10-12T00:00:00"/>
    <s v="East"/>
    <s v="Guwahati"/>
    <s v="Fashion"/>
    <x v="13"/>
    <n v="5"/>
    <n v="1700"/>
    <s v="Cash on Delivery"/>
    <s v="Delivered"/>
    <n v="8500"/>
  </r>
  <r>
    <s v="ORD10630"/>
    <s v="CUST0344"/>
    <d v="2025-07-22T00:00:00"/>
    <s v="South"/>
    <s v="Hyderabad"/>
    <s v="Electronics"/>
    <x v="1"/>
    <n v="5"/>
    <n v="33850"/>
    <s v="Debit Card"/>
    <s v="Delivered"/>
    <n v="169250"/>
  </r>
  <r>
    <s v="ORD10631"/>
    <s v="CUST0214"/>
    <d v="2025-10-10T00:00:00"/>
    <s v="East"/>
    <s v="Guwahati"/>
    <s v="Electronics"/>
    <x v="7"/>
    <n v="3"/>
    <n v="28450"/>
    <s v="Credit Card"/>
    <s v="Shipped"/>
    <n v="85350"/>
  </r>
  <r>
    <s v="ORD10632"/>
    <s v="CUST0446"/>
    <d v="2025-04-13T00:00:00"/>
    <s v="West"/>
    <s v="Mumbai"/>
    <s v="Home &amp; Kitchen"/>
    <x v="15"/>
    <n v="2"/>
    <n v="2200"/>
    <s v="UPI"/>
    <s v="Delivered"/>
    <n v="4400"/>
  </r>
  <r>
    <s v="ORD10633"/>
    <s v="CUST0428"/>
    <d v="2025-03-13T00:00:00"/>
    <s v="East"/>
    <s v="Guwahati"/>
    <s v="Fashion"/>
    <x v="11"/>
    <n v="3"/>
    <n v="4750"/>
    <s v="UPI"/>
    <s v="Delivered"/>
    <n v="14250"/>
  </r>
  <r>
    <s v="ORD10634"/>
    <s v="CUST0200"/>
    <d v="2025-09-12T00:00:00"/>
    <s v="South"/>
    <s v="Bengaluru"/>
    <s v="Fashion"/>
    <x v="11"/>
    <n v="1"/>
    <n v="1400"/>
    <s v="Credit Card"/>
    <s v="Delivered"/>
    <n v="1400"/>
  </r>
  <r>
    <s v="ORD10635"/>
    <s v="CUST0194"/>
    <d v="2025-08-23T00:00:00"/>
    <s v="South"/>
    <s v="Vijayawada"/>
    <s v="Fashion"/>
    <x v="11"/>
    <n v="3"/>
    <n v="5650"/>
    <s v="UPI"/>
    <s v="Cancelled"/>
    <n v="16950"/>
  </r>
  <r>
    <s v="ORD10636"/>
    <s v="CUST0140"/>
    <d v="2025-04-16T00:00:00"/>
    <s v="South"/>
    <s v="Chennai"/>
    <s v="Electronics"/>
    <x v="17"/>
    <n v="1"/>
    <n v="3850"/>
    <s v="UPI"/>
    <s v="Delivered"/>
    <n v="3850"/>
  </r>
  <r>
    <s v="ORD10637"/>
    <s v="CUST0122"/>
    <d v="2025-01-17T00:00:00"/>
    <s v="South"/>
    <s v="Vijayawada"/>
    <s v="Home &amp; Kitchen"/>
    <x v="5"/>
    <n v="1"/>
    <n v="8800"/>
    <s v="Credit Card"/>
    <s v="Delivered"/>
    <n v="8800"/>
  </r>
  <r>
    <s v="ORD10638"/>
    <s v="CUST0045"/>
    <d v="2025-11-10T00:00:00"/>
    <s v="West"/>
    <s v="Surat"/>
    <s v="Electronics"/>
    <x v="7"/>
    <n v="2"/>
    <n v="25200"/>
    <s v="UPI"/>
    <s v="Delivered"/>
    <n v="50400"/>
  </r>
  <r>
    <s v="ORD10639"/>
    <s v="CUST0342"/>
    <d v="2025-03-15T00:00:00"/>
    <s v="East"/>
    <s v="Bhubaneswar"/>
    <s v="Electronics"/>
    <x v="22"/>
    <n v="1"/>
    <n v="53100"/>
    <s v="UPI"/>
    <s v="Cancelled"/>
    <n v="53100"/>
  </r>
  <r>
    <s v="ORD10640"/>
    <s v="CUST0088"/>
    <d v="2025-01-17T00:00:00"/>
    <s v="South"/>
    <s v="Vijayawada"/>
    <s v="Electronics"/>
    <x v="16"/>
    <n v="1"/>
    <n v="14850"/>
    <s v="Cash on Delivery"/>
    <s v="Delivered"/>
    <n v="14850"/>
  </r>
  <r>
    <s v="ORD10641"/>
    <s v="CUST0152"/>
    <d v="2025-09-16T00:00:00"/>
    <s v="North"/>
    <s v="Jaipur"/>
    <s v="Electronics"/>
    <x v="1"/>
    <n v="2"/>
    <n v="1200"/>
    <s v="UPI"/>
    <s v="Shipped"/>
    <n v="2400"/>
  </r>
  <r>
    <s v="ORD10642"/>
    <s v="CUST0302"/>
    <d v="2025-11-30T00:00:00"/>
    <s v="South"/>
    <s v="Bengaluru"/>
    <s v="Home &amp; Kitchen"/>
    <x v="0"/>
    <n v="1"/>
    <n v="3400"/>
    <s v="Credit Card"/>
    <s v="Delivered"/>
    <n v="3400"/>
  </r>
  <r>
    <s v="ORD10643"/>
    <s v="CUST0308"/>
    <d v="2025-12-14T00:00:00"/>
    <s v="South"/>
    <s v="Hyderabad"/>
    <s v="Electronics"/>
    <x v="7"/>
    <n v="2"/>
    <n v="4600"/>
    <s v="UPI"/>
    <s v="Delivered"/>
    <n v="9200"/>
  </r>
  <r>
    <s v="ORD10644"/>
    <s v="CUST0084"/>
    <d v="2025-04-13T00:00:00"/>
    <s v="North"/>
    <s v="Lucknow"/>
    <s v="Fashion"/>
    <x v="11"/>
    <n v="1"/>
    <n v="6550"/>
    <s v="Credit Card"/>
    <s v="Delivered"/>
    <n v="6550"/>
  </r>
  <r>
    <s v="ORD10645"/>
    <s v="CUST0336"/>
    <d v="2025-05-08T00:00:00"/>
    <s v="South"/>
    <s v="Hyderabad"/>
    <s v="Sports"/>
    <x v="19"/>
    <n v="4"/>
    <n v="6300"/>
    <s v="UPI"/>
    <s v="Delivered"/>
    <n v="25200"/>
  </r>
  <r>
    <s v="ORD10646"/>
    <s v="CUST0162"/>
    <d v="2025-03-08T00:00:00"/>
    <s v="South"/>
    <s v="Bengaluru"/>
    <s v="Electronics"/>
    <x v="1"/>
    <n v="3"/>
    <n v="37950"/>
    <s v="Credit Card"/>
    <s v="Delivered"/>
    <n v="113850"/>
  </r>
  <r>
    <s v="ORD10647"/>
    <s v="CUST0434"/>
    <d v="2025-07-18T00:00:00"/>
    <s v="North"/>
    <s v="Delhi"/>
    <s v="Electronics"/>
    <x v="1"/>
    <n v="1"/>
    <n v="20650"/>
    <s v="Credit Card"/>
    <s v="Delivered"/>
    <n v="20650"/>
  </r>
  <r>
    <s v="ORD10648"/>
    <s v="CUST0340"/>
    <d v="2025-03-30T00:00:00"/>
    <s v="East"/>
    <s v="Kolkata"/>
    <s v="Home &amp; Kitchen"/>
    <x v="0"/>
    <n v="2"/>
    <n v="2900"/>
    <s v="UPI"/>
    <s v="Cancelled"/>
    <n v="5800"/>
  </r>
  <r>
    <s v="ORD10649"/>
    <s v="CUST0274"/>
    <d v="2025-06-15T00:00:00"/>
    <s v="East"/>
    <s v="Kolkata"/>
    <s v="Home &amp; Kitchen"/>
    <x v="18"/>
    <n v="1"/>
    <n v="6950"/>
    <s v="Cash on Delivery"/>
    <s v="Delivered"/>
    <n v="6950"/>
  </r>
  <r>
    <s v="ORD10650"/>
    <s v="CUST0087"/>
    <d v="2025-08-13T00:00:00"/>
    <s v="North"/>
    <s v="Lucknow"/>
    <s v="Electronics"/>
    <x v="16"/>
    <n v="1"/>
    <n v="19750"/>
    <s v="Credit Card"/>
    <s v="Returned"/>
    <n v="19750"/>
  </r>
  <r>
    <s v="ORD10651"/>
    <s v="CUST0181"/>
    <d v="2025-08-19T00:00:00"/>
    <s v="North"/>
    <s v="Jaipur"/>
    <s v="Electronics"/>
    <x v="1"/>
    <n v="1"/>
    <n v="34650"/>
    <s v="UPI"/>
    <s v="Delivered"/>
    <n v="34650"/>
  </r>
  <r>
    <s v="ORD10652"/>
    <s v="CUST0187"/>
    <d v="2025-02-07T00:00:00"/>
    <s v="South"/>
    <s v="Bengaluru"/>
    <s v="Sports"/>
    <x v="6"/>
    <n v="1"/>
    <n v="6400"/>
    <s v="Credit Card"/>
    <s v="Cancelled"/>
    <n v="6400"/>
  </r>
  <r>
    <s v="ORD10653"/>
    <s v="CUST0182"/>
    <d v="2025-05-05T00:00:00"/>
    <s v="West"/>
    <s v="Ahmedabad"/>
    <s v="Home &amp; Kitchen"/>
    <x v="15"/>
    <n v="2"/>
    <n v="4200"/>
    <s v="Credit Card"/>
    <s v="Cancelled"/>
    <n v="8400"/>
  </r>
  <r>
    <s v="ORD10654"/>
    <s v="CUST0411"/>
    <d v="2025-01-21T00:00:00"/>
    <s v="North"/>
    <s v="Chandigarh"/>
    <s v="Electronics"/>
    <x v="17"/>
    <n v="4"/>
    <n v="18650"/>
    <s v="UPI"/>
    <s v="Delivered"/>
    <n v="74600"/>
  </r>
  <r>
    <s v="ORD10655"/>
    <s v="CUST0412"/>
    <d v="2025-04-13T00:00:00"/>
    <s v="South"/>
    <s v="Chennai"/>
    <s v="Home &amp; Kitchen"/>
    <x v="5"/>
    <n v="3"/>
    <n v="6200"/>
    <s v="Credit Card"/>
    <s v="Delivered"/>
    <n v="18600"/>
  </r>
  <r>
    <s v="ORD10656"/>
    <s v="CUST0069"/>
    <d v="2025-09-22T00:00:00"/>
    <s v="North"/>
    <s v="Lucknow"/>
    <s v="Beauty"/>
    <x v="8"/>
    <n v="1"/>
    <n v="1200"/>
    <s v="UPI"/>
    <s v="Delivered"/>
    <n v="1200"/>
  </r>
  <r>
    <s v="ORD10657"/>
    <s v="CUST0326"/>
    <d v="2025-06-26T00:00:00"/>
    <s v="West"/>
    <s v="Ahmedabad"/>
    <s v="Home &amp; Kitchen"/>
    <x v="15"/>
    <n v="1"/>
    <n v="5850"/>
    <s v="Credit Card"/>
    <s v="Delivered"/>
    <n v="5850"/>
  </r>
  <r>
    <s v="ORD10658"/>
    <s v="CUST0261"/>
    <d v="2025-09-11T00:00:00"/>
    <s v="South"/>
    <s v="Hyderabad"/>
    <s v="Sports"/>
    <x v="6"/>
    <n v="2"/>
    <n v="7600"/>
    <s v="UPI"/>
    <s v="Delivered"/>
    <n v="15200"/>
  </r>
  <r>
    <s v="ORD10659"/>
    <s v="CUST0149"/>
    <d v="2025-11-18T00:00:00"/>
    <s v="South"/>
    <s v="Chennai"/>
    <s v="Fashion"/>
    <x v="13"/>
    <n v="3"/>
    <n v="7000"/>
    <s v="Credit Card"/>
    <s v="Delivered"/>
    <n v="21000"/>
  </r>
  <r>
    <s v="ORD10660"/>
    <s v="CUST0199"/>
    <d v="2025-11-16T00:00:00"/>
    <s v="South"/>
    <s v="Chennai"/>
    <s v="Fashion"/>
    <x v="11"/>
    <n v="4"/>
    <n v="1450"/>
    <s v="UPI"/>
    <s v="Delivered"/>
    <n v="5800"/>
  </r>
  <r>
    <s v="ORD10661"/>
    <s v="CUST0249"/>
    <d v="2025-04-03T00:00:00"/>
    <s v="West"/>
    <s v="Mumbai"/>
    <s v="Home &amp; Kitchen"/>
    <x v="9"/>
    <n v="1"/>
    <n v="6900"/>
    <s v="Cash on Delivery"/>
    <s v="Delivered"/>
    <n v="6900"/>
  </r>
  <r>
    <s v="ORD10662"/>
    <s v="CUST0407"/>
    <d v="2025-08-20T00:00:00"/>
    <s v="West"/>
    <s v="Pune"/>
    <s v="Fashion"/>
    <x v="11"/>
    <n v="1"/>
    <n v="1800"/>
    <s v="UPI"/>
    <s v="Delivered"/>
    <n v="1800"/>
  </r>
  <r>
    <s v="ORD10663"/>
    <s v="CUST0216"/>
    <d v="2025-03-31T00:00:00"/>
    <s v="South"/>
    <s v="Chennai"/>
    <s v="Electronics"/>
    <x v="17"/>
    <n v="1"/>
    <n v="53400"/>
    <s v="UPI"/>
    <s v="Delivered"/>
    <n v="53400"/>
  </r>
  <r>
    <s v="ORD10664"/>
    <s v="CUST0361"/>
    <d v="2025-10-10T00:00:00"/>
    <s v="West"/>
    <s v="Surat"/>
    <s v="Home &amp; Kitchen"/>
    <x v="18"/>
    <n v="2"/>
    <n v="6500"/>
    <s v="Cash on Delivery"/>
    <s v="Delivered"/>
    <n v="13000"/>
  </r>
  <r>
    <s v="ORD10665"/>
    <s v="CUST0125"/>
    <d v="2025-03-08T00:00:00"/>
    <s v="West"/>
    <s v="Mumbai"/>
    <s v="Fashion"/>
    <x v="11"/>
    <n v="1"/>
    <n v="5100"/>
    <s v="Credit Card"/>
    <s v="Delivered"/>
    <n v="5100"/>
  </r>
  <r>
    <s v="ORD10666"/>
    <s v="CUST0404"/>
    <d v="2025-04-13T00:00:00"/>
    <s v="West"/>
    <s v="Pune"/>
    <s v="Fashion"/>
    <x v="11"/>
    <n v="2"/>
    <n v="950"/>
    <s v="Cash on Delivery"/>
    <s v="Delivered"/>
    <n v="1900"/>
  </r>
  <r>
    <s v="ORD10667"/>
    <s v="CUST0259"/>
    <d v="2025-02-15T00:00:00"/>
    <s v="West"/>
    <s v="Mumbai"/>
    <s v="Sports"/>
    <x v="4"/>
    <n v="1"/>
    <n v="4600"/>
    <s v="Net Banking"/>
    <s v="Delivered"/>
    <n v="4600"/>
  </r>
  <r>
    <s v="ORD10668"/>
    <s v="CUST0016"/>
    <d v="2025-02-28T00:00:00"/>
    <s v="South"/>
    <s v="Hyderabad"/>
    <s v="Beauty"/>
    <x v="23"/>
    <n v="1"/>
    <n v="1200"/>
    <s v="Debit Card"/>
    <s v="Delivered"/>
    <n v="1200"/>
  </r>
  <r>
    <s v="ORD10669"/>
    <s v="CUST0394"/>
    <d v="2025-03-16T00:00:00"/>
    <s v="South"/>
    <s v="Hyderabad"/>
    <s v="Fashion"/>
    <x v="13"/>
    <n v="1"/>
    <n v="6150"/>
    <s v="Credit Card"/>
    <s v="Delivered"/>
    <n v="6150"/>
  </r>
  <r>
    <s v="ORD10670"/>
    <s v="CUST0161"/>
    <d v="2025-12-23T00:00:00"/>
    <s v="South"/>
    <s v="Chennai"/>
    <s v="Home &amp; Kitchen"/>
    <x v="18"/>
    <n v="1"/>
    <n v="7550"/>
    <s v="UPI"/>
    <s v="Cancelled"/>
    <n v="7550"/>
  </r>
  <r>
    <s v="ORD10671"/>
    <s v="CUST0333"/>
    <d v="2025-01-01T00:00:00"/>
    <s v="East"/>
    <s v="Patna"/>
    <s v="Sports"/>
    <x v="3"/>
    <n v="2"/>
    <n v="2600"/>
    <s v="Debit Card"/>
    <s v="Delivered"/>
    <n v="5200"/>
  </r>
  <r>
    <s v="ORD10672"/>
    <s v="CUST0325"/>
    <d v="2025-05-08T00:00:00"/>
    <s v="South"/>
    <s v="Bengaluru"/>
    <s v="Home &amp; Kitchen"/>
    <x v="9"/>
    <n v="2"/>
    <n v="3200"/>
    <s v="Credit Card"/>
    <s v="Delivered"/>
    <n v="6400"/>
  </r>
  <r>
    <s v="ORD10673"/>
    <s v="CUST0434"/>
    <d v="2025-06-18T00:00:00"/>
    <s v="West"/>
    <s v="Mumbai"/>
    <s v="Home &amp; Kitchen"/>
    <x v="9"/>
    <n v="1"/>
    <n v="1100"/>
    <s v="Net Banking"/>
    <s v="Shipped"/>
    <n v="1100"/>
  </r>
  <r>
    <s v="ORD10674"/>
    <s v="CUST0273"/>
    <d v="2025-12-02T00:00:00"/>
    <s v="West"/>
    <s v="Surat"/>
    <s v="Home &amp; Kitchen"/>
    <x v="5"/>
    <n v="1"/>
    <n v="750"/>
    <s v="UPI"/>
    <s v="Delivered"/>
    <n v="750"/>
  </r>
  <r>
    <s v="ORD10675"/>
    <s v="CUST0353"/>
    <d v="2025-04-09T00:00:00"/>
    <s v="East"/>
    <s v="Bhubaneswar"/>
    <s v="Fashion"/>
    <x v="12"/>
    <n v="1"/>
    <n v="3000"/>
    <s v="UPI"/>
    <s v="Delivered"/>
    <n v="3000"/>
  </r>
  <r>
    <s v="ORD10676"/>
    <s v="CUST0388"/>
    <d v="2025-05-20T00:00:00"/>
    <s v="South"/>
    <s v="Vijayawada"/>
    <s v="Electronics"/>
    <x v="22"/>
    <n v="1"/>
    <n v="18400"/>
    <s v="Cash on Delivery"/>
    <s v="Shipped"/>
    <n v="18400"/>
  </r>
  <r>
    <s v="ORD10677"/>
    <s v="CUST0362"/>
    <d v="2025-05-17T00:00:00"/>
    <s v="South"/>
    <s v="Hyderabad"/>
    <s v="Home &amp; Kitchen"/>
    <x v="15"/>
    <n v="1"/>
    <n v="1100"/>
    <s v="Net Banking"/>
    <s v="Returned"/>
    <n v="1100"/>
  </r>
  <r>
    <s v="ORD10678"/>
    <s v="CUST0390"/>
    <d v="2025-04-30T00:00:00"/>
    <s v="South"/>
    <s v="Hyderabad"/>
    <s v="Fashion"/>
    <x v="2"/>
    <n v="1"/>
    <n v="2450"/>
    <s v="UPI"/>
    <s v="Delivered"/>
    <n v="2450"/>
  </r>
  <r>
    <s v="ORD10679"/>
    <s v="CUST0114"/>
    <d v="2025-03-03T00:00:00"/>
    <s v="South"/>
    <s v="Bengaluru"/>
    <s v="Beauty"/>
    <x v="20"/>
    <n v="3"/>
    <n v="900"/>
    <s v="UPI"/>
    <s v="Delivered"/>
    <n v="2700"/>
  </r>
  <r>
    <s v="ORD10680"/>
    <s v="CUST0196"/>
    <d v="2025-12-19T00:00:00"/>
    <s v="North"/>
    <s v="Jaipur"/>
    <s v="Electronics"/>
    <x v="16"/>
    <n v="3"/>
    <n v="18050"/>
    <s v="Net Banking"/>
    <s v="Delivered"/>
    <n v="54150"/>
  </r>
  <r>
    <s v="ORD10681"/>
    <s v="CUST0032"/>
    <d v="2025-10-16T00:00:00"/>
    <s v="South"/>
    <s v="Bengaluru"/>
    <s v="Sports"/>
    <x v="6"/>
    <n v="1"/>
    <n v="8050"/>
    <s v="Net Banking"/>
    <s v="Returned"/>
    <n v="8050"/>
  </r>
  <r>
    <s v="ORD10682"/>
    <s v="CUST0003"/>
    <d v="2025-03-09T00:00:00"/>
    <s v="South"/>
    <s v="Chennai"/>
    <s v="Home &amp; Kitchen"/>
    <x v="5"/>
    <n v="1"/>
    <n v="2050"/>
    <s v="UPI"/>
    <s v="Delivered"/>
    <n v="2050"/>
  </r>
  <r>
    <s v="ORD10683"/>
    <s v="CUST0064"/>
    <d v="2025-01-31T00:00:00"/>
    <s v="East"/>
    <s v="Patna"/>
    <s v="Home &amp; Kitchen"/>
    <x v="0"/>
    <n v="1"/>
    <n v="7450"/>
    <s v="UPI"/>
    <s v="Delivered"/>
    <n v="7450"/>
  </r>
  <r>
    <s v="ORD10684"/>
    <s v="CUST0171"/>
    <d v="2025-06-11T00:00:00"/>
    <s v="South"/>
    <s v="Hyderabad"/>
    <s v="Fashion"/>
    <x v="11"/>
    <n v="1"/>
    <n v="6800"/>
    <s v="Debit Card"/>
    <s v="Delivered"/>
    <n v="6800"/>
  </r>
  <r>
    <s v="ORD10685"/>
    <s v="CUST0305"/>
    <d v="2025-10-25T00:00:00"/>
    <s v="East"/>
    <s v="Bhubaneswar"/>
    <s v="Fashion"/>
    <x v="12"/>
    <n v="3"/>
    <n v="5250"/>
    <s v="UPI"/>
    <s v="Delivered"/>
    <n v="15750"/>
  </r>
  <r>
    <s v="ORD10686"/>
    <s v="CUST0044"/>
    <d v="2025-10-05T00:00:00"/>
    <s v="West"/>
    <s v="Ahmedabad"/>
    <s v="Beauty"/>
    <x v="23"/>
    <n v="1"/>
    <n v="4550"/>
    <s v="Debit Card"/>
    <s v="Delivered"/>
    <n v="4550"/>
  </r>
  <r>
    <s v="ORD10687"/>
    <s v="CUST0276"/>
    <d v="2025-10-08T00:00:00"/>
    <s v="South"/>
    <s v="Hyderabad"/>
    <s v="Electronics"/>
    <x v="22"/>
    <n v="2"/>
    <n v="21300"/>
    <s v="UPI"/>
    <s v="Returned"/>
    <n v="42600"/>
  </r>
  <r>
    <s v="ORD10688"/>
    <s v="CUST0083"/>
    <d v="2025-06-19T00:00:00"/>
    <s v="West"/>
    <s v="Surat"/>
    <s v="Fashion"/>
    <x v="12"/>
    <n v="4"/>
    <n v="5650"/>
    <s v="Debit Card"/>
    <s v="Delivered"/>
    <n v="22600"/>
  </r>
  <r>
    <s v="ORD10689"/>
    <s v="CUST0352"/>
    <d v="2025-01-12T00:00:00"/>
    <s v="West"/>
    <s v="Ahmedabad"/>
    <s v="Beauty"/>
    <x v="23"/>
    <n v="1"/>
    <n v="4400"/>
    <s v="Net Banking"/>
    <s v="Delivered"/>
    <n v="4400"/>
  </r>
  <r>
    <s v="ORD10690"/>
    <s v="CUST0107"/>
    <d v="2025-10-06T00:00:00"/>
    <s v="West"/>
    <s v="Mumbai"/>
    <s v="Home &amp; Kitchen"/>
    <x v="5"/>
    <n v="2"/>
    <n v="5300"/>
    <s v="Debit Card"/>
    <s v="Delivered"/>
    <n v="10600"/>
  </r>
  <r>
    <s v="ORD10691"/>
    <s v="CUST0241"/>
    <d v="2025-05-14T00:00:00"/>
    <s v="South"/>
    <s v="Bengaluru"/>
    <s v="Electronics"/>
    <x v="22"/>
    <n v="2"/>
    <n v="59300"/>
    <s v="Credit Card"/>
    <s v="Delivered"/>
    <n v="118600"/>
  </r>
  <r>
    <s v="ORD10692"/>
    <s v="CUST0186"/>
    <d v="2025-03-11T00:00:00"/>
    <s v="West"/>
    <s v="Ahmedabad"/>
    <s v="Beauty"/>
    <x v="24"/>
    <n v="2"/>
    <n v="3650"/>
    <s v="UPI"/>
    <s v="Delivered"/>
    <n v="7300"/>
  </r>
  <r>
    <s v="ORD10693"/>
    <s v="CUST0089"/>
    <d v="2025-05-21T00:00:00"/>
    <s v="North"/>
    <s v="Lucknow"/>
    <s v="Sports"/>
    <x v="3"/>
    <n v="3"/>
    <n v="6550"/>
    <s v="Credit Card"/>
    <s v="Delivered"/>
    <n v="19650"/>
  </r>
  <r>
    <s v="ORD10694"/>
    <s v="CUST0186"/>
    <d v="2025-02-03T00:00:00"/>
    <s v="West"/>
    <s v="Ahmedabad"/>
    <s v="Home &amp; Kitchen"/>
    <x v="5"/>
    <n v="1"/>
    <n v="700"/>
    <s v="Cash on Delivery"/>
    <s v="Cancelled"/>
    <n v="700"/>
  </r>
  <r>
    <s v="ORD10695"/>
    <s v="CUST0210"/>
    <d v="2025-04-13T00:00:00"/>
    <s v="South"/>
    <s v="Vijayawada"/>
    <s v="Electronics"/>
    <x v="1"/>
    <n v="1"/>
    <n v="55700"/>
    <s v="Debit Card"/>
    <s v="Delivered"/>
    <n v="55700"/>
  </r>
  <r>
    <s v="ORD10696"/>
    <s v="CUST0029"/>
    <d v="2025-07-29T00:00:00"/>
    <s v="West"/>
    <s v="Ahmedabad"/>
    <s v="Home &amp; Kitchen"/>
    <x v="15"/>
    <n v="1"/>
    <n v="2800"/>
    <s v="Net Banking"/>
    <s v="Delivered"/>
    <n v="2800"/>
  </r>
  <r>
    <s v="ORD10697"/>
    <s v="CUST0314"/>
    <d v="2025-06-23T00:00:00"/>
    <s v="South"/>
    <s v="Hyderabad"/>
    <s v="Electronics"/>
    <x v="7"/>
    <n v="1"/>
    <n v="26850"/>
    <s v="Credit Card"/>
    <s v="Returned"/>
    <n v="26850"/>
  </r>
  <r>
    <s v="ORD10698"/>
    <s v="CUST0258"/>
    <d v="2025-06-01T00:00:00"/>
    <s v="South"/>
    <s v="Hyderabad"/>
    <s v="Sports"/>
    <x v="4"/>
    <n v="3"/>
    <n v="700"/>
    <s v="Net Banking"/>
    <s v="Delivered"/>
    <n v="2100"/>
  </r>
  <r>
    <s v="ORD10699"/>
    <s v="CUST0323"/>
    <d v="2025-12-12T00:00:00"/>
    <s v="North"/>
    <s v="Delhi"/>
    <s v="Electronics"/>
    <x v="1"/>
    <n v="3"/>
    <n v="10950"/>
    <s v="Debit Card"/>
    <s v="Delivered"/>
    <n v="32850"/>
  </r>
  <r>
    <s v="ORD10700"/>
    <s v="CUST0028"/>
    <d v="2025-01-17T00:00:00"/>
    <s v="West"/>
    <s v="Mumbai"/>
    <s v="Sports"/>
    <x v="6"/>
    <n v="1"/>
    <n v="8500"/>
    <s v="Credit Card"/>
    <s v="Delivered"/>
    <n v="8500"/>
  </r>
  <r>
    <s v="ORD10701"/>
    <s v="CUST0069"/>
    <d v="2025-03-26T00:00:00"/>
    <s v="East"/>
    <s v="Guwahati"/>
    <s v="Sports"/>
    <x v="3"/>
    <n v="1"/>
    <n v="8250"/>
    <s v="Credit Card"/>
    <s v="Returned"/>
    <n v="8250"/>
  </r>
  <r>
    <s v="ORD10702"/>
    <s v="CUST0220"/>
    <d v="2025-01-31T00:00:00"/>
    <s v="North"/>
    <s v="Jaipur"/>
    <s v="Sports"/>
    <x v="10"/>
    <n v="2"/>
    <n v="5600"/>
    <s v="Debit Card"/>
    <s v="Delivered"/>
    <n v="11200"/>
  </r>
  <r>
    <s v="ORD10703"/>
    <s v="CUST0180"/>
    <d v="2025-12-07T00:00:00"/>
    <s v="South"/>
    <s v="Hyderabad"/>
    <s v="Fashion"/>
    <x v="13"/>
    <n v="1"/>
    <n v="500"/>
    <s v="Credit Card"/>
    <s v="Delivered"/>
    <n v="500"/>
  </r>
  <r>
    <s v="ORD10704"/>
    <s v="CUST0323"/>
    <d v="2025-08-13T00:00:00"/>
    <s v="South"/>
    <s v="Bengaluru"/>
    <s v="Home &amp; Kitchen"/>
    <x v="0"/>
    <n v="3"/>
    <n v="1350"/>
    <s v="UPI"/>
    <s v="Delivered"/>
    <n v="4050"/>
  </r>
  <r>
    <s v="ORD10705"/>
    <s v="CUST0278"/>
    <d v="2025-12-25T00:00:00"/>
    <s v="East"/>
    <s v="Guwahati"/>
    <s v="Fashion"/>
    <x v="21"/>
    <n v="1"/>
    <n v="5000"/>
    <s v="Debit Card"/>
    <s v="Delivered"/>
    <n v="5000"/>
  </r>
  <r>
    <s v="ORD10706"/>
    <s v="CUST0434"/>
    <d v="2025-07-31T00:00:00"/>
    <s v="West"/>
    <s v="Surat"/>
    <s v="Electronics"/>
    <x v="1"/>
    <n v="1"/>
    <n v="32950"/>
    <s v="Debit Card"/>
    <s v="Delivered"/>
    <n v="32950"/>
  </r>
  <r>
    <s v="ORD10707"/>
    <s v="CUST0216"/>
    <d v="2025-10-30T00:00:00"/>
    <s v="South"/>
    <s v="Hyderabad"/>
    <s v="Fashion"/>
    <x v="11"/>
    <n v="3"/>
    <n v="6900"/>
    <s v="UPI"/>
    <s v="Delivered"/>
    <n v="20700"/>
  </r>
  <r>
    <s v="ORD10708"/>
    <s v="CUST0319"/>
    <d v="2025-11-21T00:00:00"/>
    <s v="South"/>
    <s v="Bengaluru"/>
    <s v="Home &amp; Kitchen"/>
    <x v="5"/>
    <n v="1"/>
    <n v="5700"/>
    <s v="Debit Card"/>
    <s v="Delivered"/>
    <n v="5700"/>
  </r>
  <r>
    <s v="ORD10709"/>
    <s v="CUST0016"/>
    <d v="2025-08-15T00:00:00"/>
    <s v="West"/>
    <s v="Pune"/>
    <s v="Electronics"/>
    <x v="7"/>
    <n v="3"/>
    <n v="8850"/>
    <s v="Credit Card"/>
    <s v="Delivered"/>
    <n v="26550"/>
  </r>
  <r>
    <s v="ORD10710"/>
    <s v="CUST0057"/>
    <d v="2025-07-05T00:00:00"/>
    <s v="North"/>
    <s v="Delhi"/>
    <s v="Electronics"/>
    <x v="22"/>
    <n v="2"/>
    <n v="7500"/>
    <s v="Cash on Delivery"/>
    <s v="Cancelled"/>
    <n v="15000"/>
  </r>
  <r>
    <s v="ORD10711"/>
    <s v="CUST0231"/>
    <d v="2025-01-18T00:00:00"/>
    <s v="West"/>
    <s v="Mumbai"/>
    <s v="Fashion"/>
    <x v="2"/>
    <n v="1"/>
    <n v="4150"/>
    <s v="Credit Card"/>
    <s v="Shipped"/>
    <n v="4150"/>
  </r>
  <r>
    <s v="ORD10712"/>
    <s v="CUST0196"/>
    <d v="2025-11-26T00:00:00"/>
    <s v="West"/>
    <s v="Ahmedabad"/>
    <s v="Fashion"/>
    <x v="21"/>
    <n v="3"/>
    <n v="2200"/>
    <s v="Credit Card"/>
    <s v="Delivered"/>
    <n v="6600"/>
  </r>
  <r>
    <s v="ORD10713"/>
    <s v="CUST0272"/>
    <d v="2025-08-15T00:00:00"/>
    <s v="South"/>
    <s v="Vijayawada"/>
    <s v="Electronics"/>
    <x v="16"/>
    <n v="1"/>
    <n v="11550"/>
    <s v="UPI"/>
    <s v="Delivered"/>
    <n v="11550"/>
  </r>
  <r>
    <s v="ORD10714"/>
    <s v="CUST0283"/>
    <d v="2025-06-02T00:00:00"/>
    <s v="South"/>
    <s v="Hyderabad"/>
    <s v="Fashion"/>
    <x v="2"/>
    <n v="1"/>
    <n v="7750"/>
    <s v="UPI"/>
    <s v="Delivered"/>
    <n v="7750"/>
  </r>
  <r>
    <s v="ORD10715"/>
    <s v="CUST0198"/>
    <d v="2025-10-28T00:00:00"/>
    <s v="West"/>
    <s v="Pune"/>
    <s v="Electronics"/>
    <x v="17"/>
    <n v="3"/>
    <n v="27650"/>
    <s v="UPI"/>
    <s v="Delivered"/>
    <n v="82950"/>
  </r>
  <r>
    <s v="ORD10716"/>
    <s v="CUST0315"/>
    <d v="2025-10-12T00:00:00"/>
    <s v="East"/>
    <s v="Bhubaneswar"/>
    <s v="Beauty"/>
    <x v="20"/>
    <n v="1"/>
    <n v="3500"/>
    <s v="Cash on Delivery"/>
    <s v="Delivered"/>
    <n v="3500"/>
  </r>
  <r>
    <s v="ORD10717"/>
    <s v="CUST0025"/>
    <d v="2025-07-06T00:00:00"/>
    <s v="North"/>
    <s v="Chandigarh"/>
    <s v="Electronics"/>
    <x v="7"/>
    <n v="1"/>
    <n v="5950"/>
    <s v="Net Banking"/>
    <s v="Returned"/>
    <n v="5950"/>
  </r>
  <r>
    <s v="ORD10718"/>
    <s v="CUST0362"/>
    <d v="2025-03-27T00:00:00"/>
    <s v="South"/>
    <s v="Hyderabad"/>
    <s v="Sports"/>
    <x v="3"/>
    <n v="2"/>
    <n v="7150"/>
    <s v="Net Banking"/>
    <s v="Delivered"/>
    <n v="14300"/>
  </r>
  <r>
    <s v="ORD10719"/>
    <s v="CUST0087"/>
    <d v="2025-01-15T00:00:00"/>
    <s v="South"/>
    <s v="Chennai"/>
    <s v="Electronics"/>
    <x v="16"/>
    <n v="3"/>
    <n v="64950"/>
    <s v="Debit Card"/>
    <s v="Delivered"/>
    <n v="194850"/>
  </r>
  <r>
    <s v="ORD10720"/>
    <s v="CUST0388"/>
    <d v="2025-08-02T00:00:00"/>
    <s v="South"/>
    <s v="Hyderabad"/>
    <s v="Home &amp; Kitchen"/>
    <x v="0"/>
    <n v="1"/>
    <n v="4950"/>
    <s v="UPI"/>
    <s v="Delivered"/>
    <n v="4950"/>
  </r>
  <r>
    <s v="ORD10721"/>
    <s v="CUST0274"/>
    <d v="2025-02-19T00:00:00"/>
    <s v="West"/>
    <s v="Ahmedabad"/>
    <s v="Sports"/>
    <x v="10"/>
    <n v="5"/>
    <n v="5000"/>
    <s v="Debit Card"/>
    <s v="Delivered"/>
    <n v="25000"/>
  </r>
  <r>
    <s v="ORD10722"/>
    <s v="CUST0440"/>
    <d v="2025-03-16T00:00:00"/>
    <s v="West"/>
    <s v="Ahmedabad"/>
    <s v="Electronics"/>
    <x v="22"/>
    <n v="2"/>
    <n v="11950"/>
    <s v="UPI"/>
    <s v="Delivered"/>
    <n v="23900"/>
  </r>
  <r>
    <s v="ORD10723"/>
    <s v="CUST0306"/>
    <d v="2025-05-31T00:00:00"/>
    <s v="West"/>
    <s v="Ahmedabad"/>
    <s v="Electronics"/>
    <x v="16"/>
    <n v="3"/>
    <n v="9450"/>
    <s v="UPI"/>
    <s v="Delivered"/>
    <n v="28350"/>
  </r>
  <r>
    <s v="ORD10724"/>
    <s v="CUST0353"/>
    <d v="2025-08-31T00:00:00"/>
    <s v="South"/>
    <s v="Vijayawada"/>
    <s v="Home &amp; Kitchen"/>
    <x v="15"/>
    <n v="5"/>
    <n v="3800"/>
    <s v="UPI"/>
    <s v="Delivered"/>
    <n v="19000"/>
  </r>
  <r>
    <s v="ORD10725"/>
    <s v="CUST0322"/>
    <d v="2025-09-15T00:00:00"/>
    <s v="East"/>
    <s v="Bhubaneswar"/>
    <s v="Electronics"/>
    <x v="7"/>
    <n v="1"/>
    <n v="57650"/>
    <s v="Cash on Delivery"/>
    <s v="Delivered"/>
    <n v="57650"/>
  </r>
  <r>
    <s v="ORD10726"/>
    <s v="CUST0326"/>
    <d v="2025-12-10T00:00:00"/>
    <s v="South"/>
    <s v="Chennai"/>
    <s v="Beauty"/>
    <x v="20"/>
    <n v="1"/>
    <n v="750"/>
    <s v="UPI"/>
    <s v="Delivered"/>
    <n v="750"/>
  </r>
  <r>
    <s v="ORD10727"/>
    <s v="CUST0246"/>
    <d v="2025-01-24T00:00:00"/>
    <s v="South"/>
    <s v="Vijayawada"/>
    <s v="Electronics"/>
    <x v="22"/>
    <n v="3"/>
    <n v="42050"/>
    <s v="Net Banking"/>
    <s v="Delivered"/>
    <n v="126150"/>
  </r>
  <r>
    <s v="ORD10728"/>
    <s v="CUST0234"/>
    <d v="2025-06-12T00:00:00"/>
    <s v="South"/>
    <s v="Chennai"/>
    <s v="Electronics"/>
    <x v="17"/>
    <n v="2"/>
    <n v="5350"/>
    <s v="Credit Card"/>
    <s v="Cancelled"/>
    <n v="10700"/>
  </r>
  <r>
    <s v="ORD10729"/>
    <s v="CUST0309"/>
    <d v="2025-04-10T00:00:00"/>
    <s v="South"/>
    <s v="Bengaluru"/>
    <s v="Beauty"/>
    <x v="24"/>
    <n v="3"/>
    <n v="1700"/>
    <s v="Debit Card"/>
    <s v="Cancelled"/>
    <n v="5100"/>
  </r>
  <r>
    <s v="ORD10730"/>
    <s v="CUST0127"/>
    <d v="2025-04-02T00:00:00"/>
    <s v="South"/>
    <s v="Vijayawada"/>
    <s v="Beauty"/>
    <x v="14"/>
    <n v="1"/>
    <n v="1950"/>
    <s v="UPI"/>
    <s v="Shipped"/>
    <n v="1950"/>
  </r>
  <r>
    <s v="ORD10731"/>
    <s v="CUST0007"/>
    <d v="2025-08-18T00:00:00"/>
    <s v="South"/>
    <s v="Hyderabad"/>
    <s v="Beauty"/>
    <x v="23"/>
    <n v="5"/>
    <n v="800"/>
    <s v="Debit Card"/>
    <s v="Delivered"/>
    <n v="4000"/>
  </r>
  <r>
    <s v="ORD10732"/>
    <s v="CUST0323"/>
    <d v="2025-09-20T00:00:00"/>
    <s v="North"/>
    <s v="Lucknow"/>
    <s v="Sports"/>
    <x v="10"/>
    <n v="3"/>
    <n v="4100"/>
    <s v="Debit Card"/>
    <s v="Delivered"/>
    <n v="12300"/>
  </r>
  <r>
    <s v="ORD10733"/>
    <s v="CUST0281"/>
    <d v="2025-03-19T00:00:00"/>
    <s v="North"/>
    <s v="Jaipur"/>
    <s v="Fashion"/>
    <x v="11"/>
    <n v="1"/>
    <n v="4200"/>
    <s v="UPI"/>
    <s v="Delivered"/>
    <n v="4200"/>
  </r>
  <r>
    <s v="ORD10734"/>
    <s v="CUST0255"/>
    <d v="2025-10-11T00:00:00"/>
    <s v="East"/>
    <s v="Patna"/>
    <s v="Electronics"/>
    <x v="1"/>
    <n v="1"/>
    <n v="22400"/>
    <s v="Credit Card"/>
    <s v="Delivered"/>
    <n v="22400"/>
  </r>
  <r>
    <s v="ORD10735"/>
    <s v="CUST0258"/>
    <d v="2025-07-23T00:00:00"/>
    <s v="East"/>
    <s v="Patna"/>
    <s v="Fashion"/>
    <x v="13"/>
    <n v="1"/>
    <n v="6850"/>
    <s v="Net Banking"/>
    <s v="Shipped"/>
    <n v="6850"/>
  </r>
  <r>
    <s v="ORD10736"/>
    <s v="CUST0225"/>
    <d v="2025-07-21T00:00:00"/>
    <s v="South"/>
    <s v="Vijayawada"/>
    <s v="Sports"/>
    <x v="10"/>
    <n v="1"/>
    <n v="6550"/>
    <s v="Net Banking"/>
    <s v="Delivered"/>
    <n v="6550"/>
  </r>
  <r>
    <s v="ORD10737"/>
    <s v="CUST0155"/>
    <d v="2025-09-14T00:00:00"/>
    <s v="West"/>
    <s v="Mumbai"/>
    <s v="Fashion"/>
    <x v="21"/>
    <n v="1"/>
    <n v="6800"/>
    <s v="Cash on Delivery"/>
    <s v="Delivered"/>
    <n v="6800"/>
  </r>
  <r>
    <s v="ORD10738"/>
    <s v="CUST0376"/>
    <d v="2025-03-28T00:00:00"/>
    <s v="North"/>
    <s v="Chandigarh"/>
    <s v="Beauty"/>
    <x v="14"/>
    <n v="1"/>
    <n v="4350"/>
    <s v="Net Banking"/>
    <s v="Delivered"/>
    <n v="4350"/>
  </r>
  <r>
    <s v="ORD10739"/>
    <s v="CUST0302"/>
    <d v="2025-10-05T00:00:00"/>
    <s v="East"/>
    <s v="Bhubaneswar"/>
    <s v="Home &amp; Kitchen"/>
    <x v="0"/>
    <n v="1"/>
    <n v="7950"/>
    <s v="UPI"/>
    <s v="Delivered"/>
    <n v="7950"/>
  </r>
  <r>
    <s v="ORD10740"/>
    <s v="CUST0352"/>
    <d v="2025-03-20T00:00:00"/>
    <s v="West"/>
    <s v="Pune"/>
    <s v="Beauty"/>
    <x v="8"/>
    <n v="1"/>
    <n v="2050"/>
    <s v="Credit Card"/>
    <s v="Delivered"/>
    <n v="2050"/>
  </r>
  <r>
    <s v="ORD10741"/>
    <s v="CUST0205"/>
    <d v="2025-07-05T00:00:00"/>
    <s v="East"/>
    <s v="Bhubaneswar"/>
    <s v="Beauty"/>
    <x v="14"/>
    <n v="1"/>
    <n v="3400"/>
    <s v="UPI"/>
    <s v="Cancelled"/>
    <n v="3400"/>
  </r>
  <r>
    <s v="ORD10742"/>
    <s v="CUST0010"/>
    <d v="2025-08-21T00:00:00"/>
    <s v="West"/>
    <s v="Ahmedabad"/>
    <s v="Fashion"/>
    <x v="11"/>
    <n v="2"/>
    <n v="4250"/>
    <s v="UPI"/>
    <s v="Delivered"/>
    <n v="8500"/>
  </r>
  <r>
    <s v="ORD10743"/>
    <s v="CUST0218"/>
    <d v="2025-07-25T00:00:00"/>
    <s v="East"/>
    <s v="Kolkata"/>
    <s v="Home &amp; Kitchen"/>
    <x v="15"/>
    <n v="2"/>
    <n v="600"/>
    <s v="Credit Card"/>
    <s v="Delivered"/>
    <n v="1200"/>
  </r>
  <r>
    <s v="ORD10744"/>
    <s v="CUST0358"/>
    <d v="2025-08-23T00:00:00"/>
    <s v="South"/>
    <s v="Vijayawada"/>
    <s v="Beauty"/>
    <x v="14"/>
    <n v="2"/>
    <n v="4500"/>
    <s v="UPI"/>
    <s v="Delivered"/>
    <n v="9000"/>
  </r>
  <r>
    <s v="ORD10745"/>
    <s v="CUST0103"/>
    <d v="2025-01-07T00:00:00"/>
    <s v="South"/>
    <s v="Bengaluru"/>
    <s v="Beauty"/>
    <x v="23"/>
    <n v="2"/>
    <n v="2200"/>
    <s v="UPI"/>
    <s v="Returned"/>
    <n v="4400"/>
  </r>
  <r>
    <s v="ORD10746"/>
    <s v="CUST0292"/>
    <d v="2025-12-11T00:00:00"/>
    <s v="North"/>
    <s v="Jaipur"/>
    <s v="Electronics"/>
    <x v="22"/>
    <n v="1"/>
    <n v="35450"/>
    <s v="Net Banking"/>
    <s v="Delivered"/>
    <n v="35450"/>
  </r>
  <r>
    <s v="ORD10747"/>
    <s v="CUST0033"/>
    <d v="2025-10-03T00:00:00"/>
    <s v="North"/>
    <s v="Lucknow"/>
    <s v="Home &amp; Kitchen"/>
    <x v="18"/>
    <n v="2"/>
    <n v="4250"/>
    <s v="UPI"/>
    <s v="Delivered"/>
    <n v="8500"/>
  </r>
  <r>
    <s v="ORD10748"/>
    <s v="CUST0109"/>
    <d v="2025-01-31T00:00:00"/>
    <s v="South"/>
    <s v="Vijayawada"/>
    <s v="Sports"/>
    <x v="6"/>
    <n v="2"/>
    <n v="6250"/>
    <s v="Credit Card"/>
    <s v="Delivered"/>
    <n v="12500"/>
  </r>
  <r>
    <s v="ORD10749"/>
    <s v="CUST0327"/>
    <d v="2025-03-08T00:00:00"/>
    <s v="East"/>
    <s v="Kolkata"/>
    <s v="Sports"/>
    <x v="3"/>
    <n v="2"/>
    <n v="2150"/>
    <s v="Debit Card"/>
    <s v="Cancelled"/>
    <n v="4300"/>
  </r>
  <r>
    <s v="ORD10750"/>
    <s v="CUST0298"/>
    <d v="2025-07-23T00:00:00"/>
    <s v="East"/>
    <s v="Bhubaneswar"/>
    <s v="Sports"/>
    <x v="6"/>
    <n v="1"/>
    <n v="1350"/>
    <s v="Debit Card"/>
    <s v="Delivered"/>
    <n v="1350"/>
  </r>
  <r>
    <s v="ORD10751"/>
    <s v="CUST0114"/>
    <d v="2025-01-20T00:00:00"/>
    <s v="South"/>
    <s v="Chennai"/>
    <s v="Electronics"/>
    <x v="1"/>
    <n v="1"/>
    <n v="59800"/>
    <s v="Credit Card"/>
    <s v="Shipped"/>
    <n v="59800"/>
  </r>
  <r>
    <s v="ORD10752"/>
    <s v="CUST0300"/>
    <d v="2025-11-28T00:00:00"/>
    <s v="North"/>
    <s v="Chandigarh"/>
    <s v="Sports"/>
    <x v="10"/>
    <n v="2"/>
    <n v="3500"/>
    <s v="Net Banking"/>
    <s v="Delivered"/>
    <n v="7000"/>
  </r>
  <r>
    <s v="ORD10753"/>
    <s v="CUST0122"/>
    <d v="2025-08-24T00:00:00"/>
    <s v="South"/>
    <s v="Vijayawada"/>
    <s v="Electronics"/>
    <x v="7"/>
    <n v="4"/>
    <n v="25500"/>
    <s v="Debit Card"/>
    <s v="Delivered"/>
    <n v="102000"/>
  </r>
  <r>
    <s v="ORD10754"/>
    <s v="CUST0096"/>
    <d v="2025-12-12T00:00:00"/>
    <s v="South"/>
    <s v="Vijayawada"/>
    <s v="Home &amp; Kitchen"/>
    <x v="9"/>
    <n v="1"/>
    <n v="4050"/>
    <s v="Net Banking"/>
    <s v="Delivered"/>
    <n v="4050"/>
  </r>
  <r>
    <s v="ORD10755"/>
    <s v="CUST0137"/>
    <d v="2025-11-10T00:00:00"/>
    <s v="South"/>
    <s v="Hyderabad"/>
    <s v="Electronics"/>
    <x v="1"/>
    <n v="3"/>
    <n v="33850"/>
    <s v="Credit Card"/>
    <s v="Delivered"/>
    <n v="101550"/>
  </r>
  <r>
    <s v="ORD10756"/>
    <s v="CUST0287"/>
    <d v="2025-05-03T00:00:00"/>
    <s v="West"/>
    <s v="Pune"/>
    <s v="Electronics"/>
    <x v="1"/>
    <n v="2"/>
    <n v="39000"/>
    <s v="Net Banking"/>
    <s v="Delivered"/>
    <n v="78000"/>
  </r>
  <r>
    <s v="ORD10757"/>
    <s v="CUST0189"/>
    <d v="2025-05-11T00:00:00"/>
    <s v="South"/>
    <s v="Bengaluru"/>
    <s v="Fashion"/>
    <x v="11"/>
    <n v="1"/>
    <n v="3650"/>
    <s v="Cash on Delivery"/>
    <s v="Delivered"/>
    <n v="3650"/>
  </r>
  <r>
    <s v="ORD10758"/>
    <s v="CUST0402"/>
    <d v="2025-02-14T00:00:00"/>
    <s v="South"/>
    <s v="Mumbai"/>
    <s v="Electronics"/>
    <x v="17"/>
    <n v="3"/>
    <n v="45150"/>
    <s v="Net Banking"/>
    <s v="Delivered"/>
    <n v="135450"/>
  </r>
  <r>
    <s v="ORD10759"/>
    <s v="CUST0379"/>
    <d v="2025-07-09T00:00:00"/>
    <s v="South"/>
    <s v="Hyderabad"/>
    <s v="Fashion"/>
    <x v="12"/>
    <n v="2"/>
    <n v="6200"/>
    <s v="Cash on Delivery"/>
    <s v="Delivered"/>
    <n v="12400"/>
  </r>
  <r>
    <s v="ORD10760"/>
    <s v="CUST0181"/>
    <d v="2025-11-16T00:00:00"/>
    <s v="North"/>
    <s v="Chandigarh"/>
    <s v="Fashion"/>
    <x v="2"/>
    <n v="2"/>
    <n v="4500"/>
    <s v="Debit Card"/>
    <s v="Delivered"/>
    <n v="9000"/>
  </r>
  <r>
    <s v="ORD10761"/>
    <s v="CUST0366"/>
    <d v="2025-11-07T00:00:00"/>
    <s v="North"/>
    <s v="Lucknow"/>
    <s v="Electronics"/>
    <x v="22"/>
    <n v="2"/>
    <n v="28000"/>
    <s v="Debit Card"/>
    <s v="Delivered"/>
    <n v="56000"/>
  </r>
  <r>
    <s v="ORD10762"/>
    <s v="CUST0094"/>
    <d v="2025-11-23T00:00:00"/>
    <s v="North"/>
    <s v="Chandigarh"/>
    <s v="Electronics"/>
    <x v="17"/>
    <n v="1"/>
    <n v="24600"/>
    <s v="UPI"/>
    <s v="Shipped"/>
    <n v="24600"/>
  </r>
  <r>
    <s v="ORD10763"/>
    <s v="CUST0023"/>
    <d v="2025-03-24T00:00:00"/>
    <s v="East"/>
    <s v="Kolkata"/>
    <s v="Electronics"/>
    <x v="22"/>
    <n v="3"/>
    <n v="6150"/>
    <s v="Debit Card"/>
    <s v="Cancelled"/>
    <n v="18450"/>
  </r>
  <r>
    <s v="ORD10764"/>
    <s v="CUST0359"/>
    <d v="2025-01-15T00:00:00"/>
    <s v="East"/>
    <s v="Patna"/>
    <s v="Fashion"/>
    <x v="13"/>
    <n v="3"/>
    <n v="1100"/>
    <s v="Debit Card"/>
    <s v="Delivered"/>
    <n v="3300"/>
  </r>
  <r>
    <s v="ORD10765"/>
    <s v="CUST0405"/>
    <d v="2025-05-04T00:00:00"/>
    <s v="South"/>
    <s v="Chennai"/>
    <s v="Fashion"/>
    <x v="11"/>
    <n v="4"/>
    <n v="4000"/>
    <s v="Debit Card"/>
    <s v="Cancelled"/>
    <n v="16000"/>
  </r>
  <r>
    <s v="ORD10766"/>
    <s v="CUST0103"/>
    <d v="2025-11-22T00:00:00"/>
    <s v="East"/>
    <s v="Kolkata"/>
    <s v="Sports"/>
    <x v="6"/>
    <n v="4"/>
    <n v="9050"/>
    <s v="UPI"/>
    <s v="Delivered"/>
    <n v="36200"/>
  </r>
  <r>
    <s v="ORD10767"/>
    <s v="CUST0286"/>
    <d v="2025-06-02T00:00:00"/>
    <s v="North"/>
    <s v="Lucknow"/>
    <s v="Home &amp; Kitchen"/>
    <x v="9"/>
    <n v="5"/>
    <n v="5700"/>
    <s v="Credit Card"/>
    <s v="Delivered"/>
    <n v="28500"/>
  </r>
  <r>
    <s v="ORD10768"/>
    <s v="CUST0449"/>
    <d v="2025-02-21T00:00:00"/>
    <s v="North"/>
    <s v="Jaipur"/>
    <s v="Fashion"/>
    <x v="13"/>
    <n v="2"/>
    <n v="6050"/>
    <s v="UPI"/>
    <s v="Delivered"/>
    <n v="12100"/>
  </r>
  <r>
    <s v="ORD10769"/>
    <s v="CUST0145"/>
    <d v="2025-03-27T00:00:00"/>
    <s v="West"/>
    <s v="Ahmedabad"/>
    <s v="Electronics"/>
    <x v="7"/>
    <n v="1"/>
    <n v="36300"/>
    <s v="UPI"/>
    <s v="Cancelled"/>
    <n v="36300"/>
  </r>
  <r>
    <s v="ORD10770"/>
    <s v="CUST0089"/>
    <d v="2025-06-03T00:00:00"/>
    <s v="North"/>
    <s v="Delhi"/>
    <s v="Fashion"/>
    <x v="11"/>
    <n v="3"/>
    <n v="1850"/>
    <s v="UPI"/>
    <s v="Delivered"/>
    <n v="5550"/>
  </r>
  <r>
    <s v="ORD10771"/>
    <s v="CUST0340"/>
    <d v="2025-08-08T00:00:00"/>
    <s v="North"/>
    <s v="Chandigarh"/>
    <s v="Fashion"/>
    <x v="2"/>
    <n v="1"/>
    <n v="7100"/>
    <s v="Debit Card"/>
    <s v="Cancelled"/>
    <n v="7100"/>
  </r>
  <r>
    <s v="ORD10772"/>
    <s v="CUST0113"/>
    <d v="2025-04-01T00:00:00"/>
    <s v="East"/>
    <s v="Kolkata"/>
    <s v="Sports"/>
    <x v="10"/>
    <n v="3"/>
    <n v="9150"/>
    <s v="Credit Card"/>
    <s v="Delivered"/>
    <n v="27450"/>
  </r>
  <r>
    <s v="ORD10773"/>
    <s v="CUST0369"/>
    <d v="2025-04-04T00:00:00"/>
    <s v="South"/>
    <s v="Chennai"/>
    <s v="Beauty"/>
    <x v="20"/>
    <n v="1"/>
    <n v="1900"/>
    <s v="Debit Card"/>
    <s v="Delivered"/>
    <n v="1900"/>
  </r>
  <r>
    <s v="ORD10774"/>
    <s v="CUST0448"/>
    <d v="2025-07-22T00:00:00"/>
    <s v="South"/>
    <s v="Hyderabad"/>
    <s v="Home &amp; Kitchen"/>
    <x v="15"/>
    <n v="1"/>
    <n v="8150"/>
    <s v="Credit Card"/>
    <s v="Cancelled"/>
    <n v="8150"/>
  </r>
  <r>
    <s v="ORD10775"/>
    <s v="CUST0155"/>
    <d v="2025-07-05T00:00:00"/>
    <s v="South"/>
    <s v="Chennai"/>
    <s v="Fashion"/>
    <x v="11"/>
    <n v="3"/>
    <n v="6600"/>
    <s v="Debit Card"/>
    <s v="Delivered"/>
    <n v="19800"/>
  </r>
  <r>
    <s v="ORD10776"/>
    <s v="CUST0051"/>
    <d v="2025-08-04T00:00:00"/>
    <s v="South"/>
    <s v="Bengaluru"/>
    <s v="Fashion"/>
    <x v="21"/>
    <n v="2"/>
    <n v="4450"/>
    <s v="Credit Card"/>
    <s v="Delivered"/>
    <n v="8900"/>
  </r>
  <r>
    <s v="ORD10777"/>
    <s v="CUST0267"/>
    <d v="2025-09-25T00:00:00"/>
    <s v="West"/>
    <s v="Ahmedabad"/>
    <s v="Electronics"/>
    <x v="16"/>
    <n v="3"/>
    <n v="35500"/>
    <s v="UPI"/>
    <s v="Shipped"/>
    <n v="106500"/>
  </r>
  <r>
    <s v="ORD10778"/>
    <s v="CUST0128"/>
    <d v="2025-10-14T00:00:00"/>
    <s v="West"/>
    <s v="Ahmedabad"/>
    <s v="Fashion"/>
    <x v="12"/>
    <n v="2"/>
    <n v="5450"/>
    <s v="Debit Card"/>
    <s v="Delivered"/>
    <n v="10900"/>
  </r>
  <r>
    <s v="ORD10779"/>
    <s v="CUST0319"/>
    <d v="2025-07-22T00:00:00"/>
    <s v="North"/>
    <s v="Jaipur"/>
    <s v="Fashion"/>
    <x v="13"/>
    <n v="3"/>
    <n v="6150"/>
    <s v="Credit Card"/>
    <s v="Cancelled"/>
    <n v="18450"/>
  </r>
  <r>
    <s v="ORD10780"/>
    <s v="CUST0372"/>
    <d v="2025-04-15T00:00:00"/>
    <s v="West"/>
    <s v="Pune"/>
    <s v="Home &amp; Kitchen"/>
    <x v="15"/>
    <n v="3"/>
    <n v="6250"/>
    <s v="UPI"/>
    <s v="Shipped"/>
    <n v="18750"/>
  </r>
  <r>
    <s v="ORD10781"/>
    <s v="CUST0376"/>
    <d v="2025-09-14T00:00:00"/>
    <s v="North"/>
    <s v="Jaipur"/>
    <s v="Electronics"/>
    <x v="17"/>
    <n v="1"/>
    <n v="10350"/>
    <s v="Debit Card"/>
    <s v="Delivered"/>
    <n v="10350"/>
  </r>
  <r>
    <s v="ORD10782"/>
    <s v="CUST0129"/>
    <d v="2025-10-13T00:00:00"/>
    <s v="West"/>
    <s v="Ahmedabad"/>
    <s v="Beauty"/>
    <x v="20"/>
    <n v="1"/>
    <n v="1650"/>
    <s v="Net Banking"/>
    <s v="Delivered"/>
    <n v="1650"/>
  </r>
  <r>
    <s v="ORD10783"/>
    <s v="CUST0438"/>
    <d v="2025-01-26T00:00:00"/>
    <s v="South"/>
    <s v="Vijayawada"/>
    <s v="Electronics"/>
    <x v="17"/>
    <n v="2"/>
    <n v="54100"/>
    <s v="Debit Card"/>
    <s v="Delivered"/>
    <n v="108200"/>
  </r>
  <r>
    <s v="ORD10784"/>
    <s v="CUST0042"/>
    <d v="2025-10-12T00:00:00"/>
    <s v="South"/>
    <s v="Chennai"/>
    <s v="Electronics"/>
    <x v="7"/>
    <n v="2"/>
    <n v="1850"/>
    <s v="Credit Card"/>
    <s v="Delivered"/>
    <n v="3700"/>
  </r>
  <r>
    <s v="ORD10785"/>
    <s v="CUST0416"/>
    <d v="2025-01-26T00:00:00"/>
    <s v="West"/>
    <s v="Pune"/>
    <s v="Fashion"/>
    <x v="2"/>
    <n v="2"/>
    <n v="2050"/>
    <s v="Cash on Delivery"/>
    <s v="Delivered"/>
    <n v="4100"/>
  </r>
  <r>
    <s v="ORD10786"/>
    <s v="CUST0022"/>
    <d v="2025-10-17T00:00:00"/>
    <s v="West"/>
    <s v="Pune"/>
    <s v="Fashion"/>
    <x v="21"/>
    <n v="1"/>
    <n v="2700"/>
    <s v="UPI"/>
    <s v="Delivered"/>
    <n v="2700"/>
  </r>
  <r>
    <s v="ORD10787"/>
    <s v="CUST0150"/>
    <d v="2025-05-26T00:00:00"/>
    <s v="East"/>
    <s v="Kolkata"/>
    <s v="Sports"/>
    <x v="19"/>
    <n v="1"/>
    <n v="2800"/>
    <s v="UPI"/>
    <s v="Delivered"/>
    <n v="2800"/>
  </r>
  <r>
    <s v="ORD10788"/>
    <s v="CUST0385"/>
    <d v="2025-02-06T00:00:00"/>
    <s v="South"/>
    <s v="Bengaluru"/>
    <s v="Sports"/>
    <x v="10"/>
    <n v="1"/>
    <n v="1350"/>
    <s v="UPI"/>
    <s v="Delivered"/>
    <n v="1350"/>
  </r>
  <r>
    <s v="ORD10789"/>
    <s v="CUST0286"/>
    <d v="2025-08-27T00:00:00"/>
    <s v="South"/>
    <s v="Vijayawada"/>
    <s v="Sports"/>
    <x v="6"/>
    <n v="1"/>
    <n v="1350"/>
    <s v="UPI"/>
    <s v="Returned"/>
    <n v="1350"/>
  </r>
  <r>
    <s v="ORD10790"/>
    <s v="CUST0402"/>
    <d v="2025-09-10T00:00:00"/>
    <s v="South"/>
    <s v="Bengaluru"/>
    <s v="Home &amp; Kitchen"/>
    <x v="5"/>
    <n v="1"/>
    <n v="3250"/>
    <s v="Credit Card"/>
    <s v="Cancelled"/>
    <n v="3250"/>
  </r>
  <r>
    <s v="ORD10791"/>
    <s v="CUST0321"/>
    <d v="2025-02-11T00:00:00"/>
    <s v="South"/>
    <s v="Bengaluru"/>
    <s v="Electronics"/>
    <x v="22"/>
    <n v="2"/>
    <n v="8000"/>
    <s v="Cash on Delivery"/>
    <s v="Delivered"/>
    <n v="16000"/>
  </r>
  <r>
    <s v="ORD10792"/>
    <s v="CUST0071"/>
    <d v="2025-02-25T00:00:00"/>
    <s v="West"/>
    <s v="Ahmedabad"/>
    <s v="Fashion"/>
    <x v="2"/>
    <n v="1"/>
    <n v="3500"/>
    <s v="Credit Card"/>
    <s v="Delivered"/>
    <n v="3500"/>
  </r>
  <r>
    <s v="ORD10793"/>
    <s v="CUST0307"/>
    <d v="2025-07-07T00:00:00"/>
    <s v="South"/>
    <s v="Bengaluru"/>
    <s v="Electronics"/>
    <x v="7"/>
    <n v="5"/>
    <n v="37500"/>
    <s v="UPI"/>
    <s v="Delivered"/>
    <n v="187500"/>
  </r>
  <r>
    <s v="ORD10794"/>
    <s v="CUST0036"/>
    <d v="2025-02-17T00:00:00"/>
    <s v="West"/>
    <s v="Mumbai"/>
    <s v="Electronics"/>
    <x v="22"/>
    <n v="2"/>
    <n v="36700"/>
    <s v="Debit Card"/>
    <s v="Delivered"/>
    <n v="73400"/>
  </r>
  <r>
    <s v="ORD10795"/>
    <s v="CUST0127"/>
    <d v="2025-12-04T00:00:00"/>
    <s v="West"/>
    <s v="Pune"/>
    <s v="Fashion"/>
    <x v="2"/>
    <n v="3"/>
    <n v="5000"/>
    <s v="UPI"/>
    <s v="Delivered"/>
    <n v="15000"/>
  </r>
  <r>
    <s v="ORD10796"/>
    <s v="CUST0105"/>
    <d v="2025-02-03T00:00:00"/>
    <s v="North"/>
    <s v="Delhi"/>
    <s v="Fashion"/>
    <x v="11"/>
    <n v="1"/>
    <n v="4200"/>
    <s v="Debit Card"/>
    <s v="Cancelled"/>
    <n v="4200"/>
  </r>
  <r>
    <s v="ORD10797"/>
    <s v="CUST0271"/>
    <d v="2025-08-29T00:00:00"/>
    <s v="North"/>
    <s v="Delhi"/>
    <s v="Beauty"/>
    <x v="14"/>
    <n v="1"/>
    <n v="1800"/>
    <s v="UPI"/>
    <s v="Delivered"/>
    <n v="1800"/>
  </r>
  <r>
    <s v="ORD10798"/>
    <s v="CUST0317"/>
    <d v="2025-05-03T00:00:00"/>
    <s v="South"/>
    <s v="Hyderabad"/>
    <s v="Electronics"/>
    <x v="16"/>
    <n v="2"/>
    <n v="7050"/>
    <s v="Debit Card"/>
    <s v="Delivered"/>
    <n v="14100"/>
  </r>
  <r>
    <s v="ORD10799"/>
    <s v="CUST0401"/>
    <d v="2025-01-20T00:00:00"/>
    <s v="West"/>
    <s v="Pune"/>
    <s v="Beauty"/>
    <x v="14"/>
    <n v="2"/>
    <n v="4150"/>
    <s v="UPI"/>
    <s v="Delivered"/>
    <n v="8300"/>
  </r>
  <r>
    <s v="ORD10800"/>
    <s v="CUST0290"/>
    <d v="2025-02-12T00:00:00"/>
    <s v="South"/>
    <s v="Vijayawada"/>
    <s v="Beauty"/>
    <x v="24"/>
    <n v="4"/>
    <n v="2750"/>
    <s v="Credit Card"/>
    <s v="Shipped"/>
    <n v="11000"/>
  </r>
  <r>
    <s v="ORD10801"/>
    <s v="CUST0306"/>
    <d v="2025-01-15T00:00:00"/>
    <s v="West"/>
    <s v="Pune"/>
    <s v="Beauty"/>
    <x v="24"/>
    <n v="1"/>
    <n v="2700"/>
    <s v="Net Banking"/>
    <s v="Delivered"/>
    <n v="2700"/>
  </r>
  <r>
    <s v="ORD10802"/>
    <s v="CUST0404"/>
    <d v="2025-10-04T00:00:00"/>
    <s v="East"/>
    <s v="Bhubaneswar"/>
    <s v="Fashion"/>
    <x v="11"/>
    <n v="1"/>
    <n v="3350"/>
    <s v="Debit Card"/>
    <s v="Delivered"/>
    <n v="3350"/>
  </r>
  <r>
    <s v="ORD10803"/>
    <s v="CUST0445"/>
    <d v="2025-11-22T00:00:00"/>
    <s v="South"/>
    <s v="Bengaluru"/>
    <s v="Fashion"/>
    <x v="11"/>
    <n v="1"/>
    <n v="4300"/>
    <s v="Cash on Delivery"/>
    <s v="Delivered"/>
    <n v="4300"/>
  </r>
  <r>
    <s v="ORD10804"/>
    <s v="CUST0331"/>
    <d v="2025-06-02T00:00:00"/>
    <s v="North"/>
    <s v="Lucknow"/>
    <s v="Electronics"/>
    <x v="22"/>
    <n v="3"/>
    <n v="59100"/>
    <s v="UPI"/>
    <s v="Delivered"/>
    <n v="177300"/>
  </r>
  <r>
    <s v="ORD10805"/>
    <s v="CUST0013"/>
    <d v="2025-08-05T00:00:00"/>
    <s v="South"/>
    <s v="Hyderabad"/>
    <s v="Sports"/>
    <x v="3"/>
    <n v="1"/>
    <n v="9600"/>
    <s v="Credit Card"/>
    <s v="Delivered"/>
    <n v="9600"/>
  </r>
  <r>
    <s v="ORD10806"/>
    <s v="CUST0315"/>
    <d v="2025-10-24T00:00:00"/>
    <s v="East"/>
    <s v="Patna"/>
    <s v="Electronics"/>
    <x v="7"/>
    <n v="2"/>
    <n v="28200"/>
    <s v="UPI"/>
    <s v="Delivered"/>
    <n v="56400"/>
  </r>
  <r>
    <s v="ORD10807"/>
    <s v="CUST0431"/>
    <d v="2025-11-27T00:00:00"/>
    <s v="South"/>
    <s v="Hyderabad"/>
    <s v="Home &amp; Kitchen"/>
    <x v="5"/>
    <n v="1"/>
    <n v="350"/>
    <s v="Credit Card"/>
    <s v="Shipped"/>
    <n v="350"/>
  </r>
  <r>
    <s v="ORD10808"/>
    <s v="CUST0020"/>
    <d v="2025-08-27T00:00:00"/>
    <s v="South"/>
    <s v="Vijayawada"/>
    <s v="Sports"/>
    <x v="4"/>
    <n v="2"/>
    <n v="5100"/>
    <s v="Credit Card"/>
    <s v="Delivered"/>
    <n v="10200"/>
  </r>
  <r>
    <s v="ORD10809"/>
    <s v="CUST0253"/>
    <d v="2025-01-19T00:00:00"/>
    <s v="East"/>
    <s v="Bhubaneswar"/>
    <s v="Beauty"/>
    <x v="14"/>
    <n v="3"/>
    <n v="750"/>
    <s v="Credit Card"/>
    <s v="Delivered"/>
    <n v="2250"/>
  </r>
  <r>
    <s v="ORD10810"/>
    <s v="CUST0350"/>
    <d v="2025-06-14T00:00:00"/>
    <s v="South"/>
    <s v="Chennai"/>
    <s v="Sports"/>
    <x v="10"/>
    <n v="1"/>
    <n v="3900"/>
    <s v="Cash on Delivery"/>
    <s v="Delivered"/>
    <n v="3900"/>
  </r>
  <r>
    <s v="ORD10811"/>
    <s v="CUST0358"/>
    <d v="2025-02-16T00:00:00"/>
    <s v="South"/>
    <s v="Chennai"/>
    <s v="Electronics"/>
    <x v="17"/>
    <n v="2"/>
    <n v="25100"/>
    <s v="Debit Card"/>
    <s v="Delivered"/>
    <n v="50200"/>
  </r>
  <r>
    <s v="ORD10812"/>
    <s v="CUST0329"/>
    <d v="2025-03-18T00:00:00"/>
    <s v="South"/>
    <s v="Vijayawada"/>
    <s v="Beauty"/>
    <x v="8"/>
    <n v="2"/>
    <n v="4400"/>
    <s v="Debit Card"/>
    <s v="Delivered"/>
    <n v="8800"/>
  </r>
  <r>
    <s v="ORD10813"/>
    <s v="CUST0077"/>
    <d v="2025-01-28T00:00:00"/>
    <s v="South"/>
    <s v="Hyderabad"/>
    <s v="Beauty"/>
    <x v="24"/>
    <n v="1"/>
    <n v="2650"/>
    <s v="UPI"/>
    <s v="Delivered"/>
    <n v="2650"/>
  </r>
  <r>
    <s v="ORD10814"/>
    <s v="CUST0352"/>
    <d v="2025-02-02T00:00:00"/>
    <s v="West"/>
    <s v="Mumbai"/>
    <s v="Beauty"/>
    <x v="24"/>
    <n v="3"/>
    <n v="4100"/>
    <s v="Debit Card"/>
    <s v="Delivered"/>
    <n v="12300"/>
  </r>
  <r>
    <s v="ORD10815"/>
    <s v="CUST0003"/>
    <d v="2025-05-05T00:00:00"/>
    <s v="West"/>
    <s v="Ahmedabad"/>
    <s v="Beauty"/>
    <x v="20"/>
    <n v="2"/>
    <n v="300"/>
    <s v="Credit Card"/>
    <s v="Delivered"/>
    <n v="600"/>
  </r>
  <r>
    <s v="ORD10816"/>
    <s v="CUST0332"/>
    <d v="2025-01-15T00:00:00"/>
    <s v="West"/>
    <s v="Ahmedabad"/>
    <s v="Beauty"/>
    <x v="8"/>
    <n v="2"/>
    <n v="2000"/>
    <s v="UPI"/>
    <s v="Returned"/>
    <n v="4000"/>
  </r>
  <r>
    <s v="ORD10817"/>
    <s v="CUST0234"/>
    <d v="2025-02-15T00:00:00"/>
    <s v="South"/>
    <s v="Bengaluru"/>
    <s v="Sports"/>
    <x v="4"/>
    <n v="3"/>
    <n v="9100"/>
    <s v="Credit Card"/>
    <s v="Delivered"/>
    <n v="27300"/>
  </r>
  <r>
    <s v="ORD10818"/>
    <s v="CUST0339"/>
    <d v="2025-03-07T00:00:00"/>
    <s v="North"/>
    <s v="Lucknow"/>
    <s v="Fashion"/>
    <x v="13"/>
    <n v="1"/>
    <n v="1650"/>
    <s v="UPI"/>
    <s v="Delivered"/>
    <n v="1650"/>
  </r>
  <r>
    <s v="ORD10819"/>
    <s v="CUST0008"/>
    <d v="2025-09-29T00:00:00"/>
    <s v="East"/>
    <s v="Bhubaneswar"/>
    <s v="Fashion"/>
    <x v="13"/>
    <n v="1"/>
    <n v="2900"/>
    <s v="Cash on Delivery"/>
    <s v="Delivered"/>
    <n v="2900"/>
  </r>
  <r>
    <s v="ORD10820"/>
    <s v="CUST0361"/>
    <d v="2025-12-04T00:00:00"/>
    <s v="East"/>
    <s v="Patna"/>
    <s v="Home &amp; Kitchen"/>
    <x v="0"/>
    <n v="2"/>
    <n v="3300"/>
    <s v="UPI"/>
    <s v="Cancelled"/>
    <n v="6600"/>
  </r>
  <r>
    <s v="ORD10821"/>
    <s v="CUST0057"/>
    <d v="2025-12-15T00:00:00"/>
    <s v="East"/>
    <s v="Kolkata"/>
    <s v="Sports"/>
    <x v="19"/>
    <n v="1"/>
    <n v="850"/>
    <s v="Cash on Delivery"/>
    <s v="Delivered"/>
    <n v="850"/>
  </r>
  <r>
    <s v="ORD10822"/>
    <s v="CUST0130"/>
    <d v="2025-01-23T00:00:00"/>
    <s v="South"/>
    <s v="Bengaluru"/>
    <s v="Home &amp; Kitchen"/>
    <x v="0"/>
    <n v="1"/>
    <n v="2050"/>
    <s v="Cash on Delivery"/>
    <s v="Delivered"/>
    <n v="2050"/>
  </r>
  <r>
    <s v="ORD10823"/>
    <s v="CUST0193"/>
    <d v="2025-07-10T00:00:00"/>
    <s v="South"/>
    <s v="Hyderabad"/>
    <s v="Fashion"/>
    <x v="21"/>
    <n v="1"/>
    <n v="1000"/>
    <s v="Debit Card"/>
    <s v="Delivered"/>
    <n v="1000"/>
  </r>
  <r>
    <s v="ORD10824"/>
    <s v="CUST0243"/>
    <d v="2025-05-08T00:00:00"/>
    <s v="West"/>
    <s v="Mumbai"/>
    <s v="Sports"/>
    <x v="6"/>
    <n v="2"/>
    <n v="1200"/>
    <s v="Debit Card"/>
    <s v="Delivered"/>
    <n v="2400"/>
  </r>
  <r>
    <s v="ORD10825"/>
    <s v="CUST0229"/>
    <d v="2025-03-04T00:00:00"/>
    <s v="West"/>
    <s v="Mumbai"/>
    <s v="Beauty"/>
    <x v="23"/>
    <n v="3"/>
    <n v="2400"/>
    <s v="Cash on Delivery"/>
    <s v="Returned"/>
    <n v="7200"/>
  </r>
  <r>
    <s v="ORD10826"/>
    <s v="CUST0116"/>
    <d v="2025-12-18T00:00:00"/>
    <s v="West"/>
    <s v="Ahmedabad"/>
    <s v="Fashion"/>
    <x v="2"/>
    <n v="1"/>
    <n v="5300"/>
    <s v="Net Banking"/>
    <s v="Delivered"/>
    <n v="5300"/>
  </r>
  <r>
    <s v="ORD10827"/>
    <s v="CUST0118"/>
    <d v="2025-04-04T00:00:00"/>
    <s v="South"/>
    <s v="Chennai"/>
    <s v="Electronics"/>
    <x v="7"/>
    <n v="2"/>
    <n v="57150"/>
    <s v="Net Banking"/>
    <s v="Delivered"/>
    <n v="114300"/>
  </r>
  <r>
    <s v="ORD10828"/>
    <s v="CUST0172"/>
    <d v="2025-09-27T00:00:00"/>
    <s v="North"/>
    <s v="Jaipur"/>
    <s v="Electronics"/>
    <x v="7"/>
    <n v="4"/>
    <n v="58550"/>
    <s v="Net Banking"/>
    <s v="Delivered"/>
    <n v="234200"/>
  </r>
  <r>
    <s v="ORD10829"/>
    <s v="CUST0068"/>
    <d v="2025-12-28T00:00:00"/>
    <s v="North"/>
    <s v="Jaipur"/>
    <s v="Fashion"/>
    <x v="12"/>
    <n v="1"/>
    <n v="1600"/>
    <s v="Credit Card"/>
    <s v="Delivered"/>
    <n v="1600"/>
  </r>
  <r>
    <s v="ORD10830"/>
    <s v="CUST0372"/>
    <d v="2025-07-26T00:00:00"/>
    <s v="North"/>
    <s v="Chandigarh"/>
    <s v="Beauty"/>
    <x v="23"/>
    <n v="2"/>
    <n v="4400"/>
    <s v="UPI"/>
    <s v="Delivered"/>
    <n v="8800"/>
  </r>
  <r>
    <s v="ORD10831"/>
    <s v="CUST0411"/>
    <d v="2025-03-14T00:00:00"/>
    <s v="West"/>
    <s v="Surat"/>
    <s v="Home &amp; Kitchen"/>
    <x v="5"/>
    <n v="2"/>
    <n v="5400"/>
    <s v="UPI"/>
    <s v="Delivered"/>
    <n v="10800"/>
  </r>
  <r>
    <s v="ORD10832"/>
    <s v="CUST0294"/>
    <d v="2025-08-19T00:00:00"/>
    <s v="North"/>
    <s v="Lucknow"/>
    <s v="Sports"/>
    <x v="4"/>
    <n v="2"/>
    <n v="3900"/>
    <s v="Cash on Delivery"/>
    <s v="Delivered"/>
    <n v="7800"/>
  </r>
  <r>
    <s v="ORD10833"/>
    <s v="CUST0105"/>
    <d v="2025-09-23T00:00:00"/>
    <s v="South"/>
    <s v="Vijayawada"/>
    <s v="Sports"/>
    <x v="4"/>
    <n v="1"/>
    <n v="9950"/>
    <s v="UPI"/>
    <s v="Delivered"/>
    <n v="9950"/>
  </r>
  <r>
    <s v="ORD10834"/>
    <s v="CUST0101"/>
    <d v="2025-02-25T00:00:00"/>
    <s v="North"/>
    <s v="Jaipur"/>
    <s v="Fashion"/>
    <x v="21"/>
    <n v="1"/>
    <n v="2000"/>
    <s v="Debit Card"/>
    <s v="Delivered"/>
    <n v="2000"/>
  </r>
  <r>
    <s v="ORD10835"/>
    <s v="CUST0408"/>
    <d v="2025-08-06T00:00:00"/>
    <s v="South"/>
    <s v="Hyderabad"/>
    <s v="Home &amp; Kitchen"/>
    <x v="18"/>
    <n v="4"/>
    <n v="5250"/>
    <s v="UPI"/>
    <s v="Delivered"/>
    <n v="21000"/>
  </r>
  <r>
    <s v="ORD10836"/>
    <s v="CUST0359"/>
    <d v="2025-10-15T00:00:00"/>
    <s v="North"/>
    <s v="Jaipur"/>
    <s v="Home &amp; Kitchen"/>
    <x v="18"/>
    <n v="1"/>
    <n v="8500"/>
    <s v="Credit Card"/>
    <s v="Delivered"/>
    <n v="8500"/>
  </r>
  <r>
    <s v="ORD10837"/>
    <s v="CUST0277"/>
    <d v="2025-11-16T00:00:00"/>
    <s v="East"/>
    <s v="Kolkata"/>
    <s v="Electronics"/>
    <x v="1"/>
    <n v="2"/>
    <n v="64000"/>
    <s v="Debit Card"/>
    <s v="Delivered"/>
    <n v="128000"/>
  </r>
  <r>
    <s v="ORD10838"/>
    <s v="CUST0288"/>
    <d v="2025-03-24T00:00:00"/>
    <s v="East"/>
    <s v="Patna"/>
    <s v="Fashion"/>
    <x v="11"/>
    <n v="3"/>
    <n v="5150"/>
    <s v="Credit Card"/>
    <s v="Delivered"/>
    <n v="15450"/>
  </r>
  <r>
    <s v="ORD10839"/>
    <s v="CUST0073"/>
    <d v="2025-12-23T00:00:00"/>
    <s v="East"/>
    <s v="Guwahati"/>
    <s v="Electronics"/>
    <x v="16"/>
    <n v="2"/>
    <n v="38250"/>
    <s v="UPI"/>
    <s v="Delivered"/>
    <n v="76500"/>
  </r>
  <r>
    <s v="ORD10840"/>
    <s v="CUST0198"/>
    <d v="2025-03-19T00:00:00"/>
    <s v="East"/>
    <s v="Kolkata"/>
    <s v="Beauty"/>
    <x v="24"/>
    <n v="2"/>
    <n v="3550"/>
    <s v="UPI"/>
    <s v="Shipped"/>
    <n v="7100"/>
  </r>
  <r>
    <s v="ORD10841"/>
    <s v="CUST0173"/>
    <d v="2025-06-05T00:00:00"/>
    <s v="North"/>
    <s v="Chandigarh"/>
    <s v="Electronics"/>
    <x v="16"/>
    <n v="3"/>
    <n v="22950"/>
    <s v="UPI"/>
    <s v="Delivered"/>
    <n v="68850"/>
  </r>
  <r>
    <s v="ORD10842"/>
    <s v="CUST0196"/>
    <d v="2025-11-26T00:00:00"/>
    <s v="South"/>
    <s v="Bengaluru"/>
    <s v="Fashion"/>
    <x v="11"/>
    <n v="5"/>
    <n v="2850"/>
    <s v="UPI"/>
    <s v="Delivered"/>
    <n v="14250"/>
  </r>
  <r>
    <s v="ORD10843"/>
    <s v="CUST0146"/>
    <d v="2025-07-01T00:00:00"/>
    <s v="West"/>
    <s v="Mumbai"/>
    <s v="Home &amp; Kitchen"/>
    <x v="9"/>
    <n v="1"/>
    <n v="1500"/>
    <s v="Cash on Delivery"/>
    <s v="Delivered"/>
    <n v="1500"/>
  </r>
  <r>
    <s v="ORD10844"/>
    <s v="CUST0431"/>
    <d v="2025-12-25T00:00:00"/>
    <s v="North"/>
    <s v="Delhi"/>
    <s v="Beauty"/>
    <x v="8"/>
    <n v="1"/>
    <n v="1300"/>
    <s v="UPI"/>
    <s v="Delivered"/>
    <n v="1300"/>
  </r>
  <r>
    <s v="ORD10845"/>
    <s v="CUST0231"/>
    <d v="2025-01-23T00:00:00"/>
    <s v="East"/>
    <s v="Bhubaneswar"/>
    <s v="Fashion"/>
    <x v="13"/>
    <n v="1"/>
    <n v="4150"/>
    <s v="Debit Card"/>
    <s v="Delivered"/>
    <n v="4150"/>
  </r>
  <r>
    <s v="ORD10846"/>
    <s v="CUST0079"/>
    <d v="2025-04-20T00:00:00"/>
    <s v="West"/>
    <s v="Ahmedabad"/>
    <s v="Electronics"/>
    <x v="7"/>
    <n v="1"/>
    <n v="7600"/>
    <s v="UPI"/>
    <s v="Delivered"/>
    <n v="7600"/>
  </r>
  <r>
    <s v="ORD10847"/>
    <s v="CUST0274"/>
    <d v="2025-02-12T00:00:00"/>
    <s v="South"/>
    <s v="Bengaluru"/>
    <s v="Home &amp; Kitchen"/>
    <x v="15"/>
    <n v="3"/>
    <n v="2500"/>
    <s v="Credit Card"/>
    <s v="Delivered"/>
    <n v="7500"/>
  </r>
  <r>
    <s v="ORD10848"/>
    <s v="CUST0439"/>
    <d v="2025-09-27T00:00:00"/>
    <s v="West"/>
    <s v="Pune"/>
    <s v="Electronics"/>
    <x v="16"/>
    <n v="1"/>
    <n v="35650"/>
    <s v="Credit Card"/>
    <s v="Delivered"/>
    <n v="35650"/>
  </r>
  <r>
    <s v="ORD10849"/>
    <s v="CUST0222"/>
    <d v="2025-04-01T00:00:00"/>
    <s v="West"/>
    <s v="Surat"/>
    <s v="Fashion"/>
    <x v="11"/>
    <n v="2"/>
    <n v="550"/>
    <s v="Debit Card"/>
    <s v="Shipped"/>
    <n v="1100"/>
  </r>
  <r>
    <s v="ORD10850"/>
    <s v="CUST0074"/>
    <d v="2025-07-06T00:00:00"/>
    <s v="South"/>
    <s v="Vijayawada"/>
    <s v="Home &amp; Kitchen"/>
    <x v="5"/>
    <n v="4"/>
    <n v="7700"/>
    <s v="UPI"/>
    <s v="Cancelled"/>
    <n v="30800"/>
  </r>
  <r>
    <s v="ORD10851"/>
    <m/>
    <d v="2025-07-17T00:00:00"/>
    <s v="East"/>
    <s v="Bhubaneswar"/>
    <s v="Fashion"/>
    <x v="2"/>
    <n v="1"/>
    <n v="5850"/>
    <s v="UPI"/>
    <s v="Delivered"/>
    <n v="5850"/>
  </r>
  <r>
    <s v="ORD10852"/>
    <s v="CUST0288"/>
    <d v="2025-08-14T00:00:00"/>
    <s v="South"/>
    <s v="Bengaluru"/>
    <s v="Electronics"/>
    <x v="16"/>
    <n v="1"/>
    <n v="29500"/>
    <s v="Cash on Delivery"/>
    <s v="Delivered"/>
    <n v="29500"/>
  </r>
  <r>
    <s v="ORD10853"/>
    <s v="CUST0289"/>
    <d v="2025-02-07T00:00:00"/>
    <s v="North"/>
    <s v="Jaipur"/>
    <s v="Electronics"/>
    <x v="22"/>
    <n v="1"/>
    <n v="43150"/>
    <s v="Debit Card"/>
    <s v="Returned"/>
    <n v="43150"/>
  </r>
  <r>
    <s v="ORD10854"/>
    <s v="CUST0433"/>
    <d v="2025-02-25T00:00:00"/>
    <s v="South"/>
    <s v="Hyderabad"/>
    <s v="Electronics"/>
    <x v="16"/>
    <n v="3"/>
    <n v="34600"/>
    <s v="Cash on Delivery"/>
    <s v="Cancelled"/>
    <n v="103800"/>
  </r>
  <r>
    <s v="ORD10855"/>
    <s v="CUST0049"/>
    <d v="2025-05-27T00:00:00"/>
    <s v="East"/>
    <s v="Bhubaneswar"/>
    <s v="Sports"/>
    <x v="6"/>
    <n v="2"/>
    <n v="1500"/>
    <s v="UPI"/>
    <s v="Returned"/>
    <n v="3000"/>
  </r>
  <r>
    <s v="ORD10856"/>
    <s v="CUST0332"/>
    <d v="2025-05-11T00:00:00"/>
    <s v="East"/>
    <s v="Kolkata"/>
    <s v="Home &amp; Kitchen"/>
    <x v="0"/>
    <n v="1"/>
    <n v="1400"/>
    <s v="UPI"/>
    <s v="Cancelled"/>
    <n v="1400"/>
  </r>
  <r>
    <s v="ORD10857"/>
    <s v="CUST0148"/>
    <d v="2025-08-18T00:00:00"/>
    <s v="West"/>
    <s v="Pune"/>
    <s v="Beauty"/>
    <x v="24"/>
    <n v="1"/>
    <n v="950"/>
    <s v="Debit Card"/>
    <s v="Delivered"/>
    <n v="950"/>
  </r>
  <r>
    <s v="ORD10858"/>
    <s v="CUST0271"/>
    <d v="2025-04-04T00:00:00"/>
    <s v="North"/>
    <s v="Chandigarh"/>
    <s v="Fashion"/>
    <x v="11"/>
    <n v="1"/>
    <n v="7000"/>
    <s v="Debit Card"/>
    <s v="Delivered"/>
    <n v="7000"/>
  </r>
  <r>
    <s v="ORD10859"/>
    <s v="CUST0237"/>
    <d v="2025-08-15T00:00:00"/>
    <s v="West"/>
    <s v="Ahmedabad"/>
    <s v="Beauty"/>
    <x v="24"/>
    <n v="2"/>
    <n v="1100"/>
    <s v="UPI"/>
    <s v="Shipped"/>
    <n v="2200"/>
  </r>
  <r>
    <s v="ORD10860"/>
    <s v="CUST0292"/>
    <d v="2025-11-06T00:00:00"/>
    <s v="South"/>
    <s v="Chennai"/>
    <s v="Fashion"/>
    <x v="21"/>
    <n v="1"/>
    <n v="7400"/>
    <s v="Net Banking"/>
    <s v="Delivered"/>
    <n v="7400"/>
  </r>
  <r>
    <s v="ORD10861"/>
    <s v="CUST0283"/>
    <d v="2025-02-06T00:00:00"/>
    <s v="North"/>
    <s v="Jaipur"/>
    <s v="Home &amp; Kitchen"/>
    <x v="18"/>
    <n v="2"/>
    <n v="1350"/>
    <s v="Debit Card"/>
    <s v="Delivered"/>
    <n v="2700"/>
  </r>
  <r>
    <s v="ORD10862"/>
    <s v="CUST0154"/>
    <d v="2025-05-30T00:00:00"/>
    <s v="North"/>
    <s v="Chandigarh"/>
    <s v="Fashion"/>
    <x v="12"/>
    <n v="1"/>
    <n v="7900"/>
    <s v="Debit Card"/>
    <s v="Delivered"/>
    <n v="7900"/>
  </r>
  <r>
    <s v="ORD10863"/>
    <s v="CUST0137"/>
    <d v="2025-07-08T00:00:00"/>
    <s v="North"/>
    <s v="Chandigarh"/>
    <s v="Beauty"/>
    <x v="23"/>
    <n v="1"/>
    <n v="2050"/>
    <s v="Debit Card"/>
    <s v="Delivered"/>
    <n v="2050"/>
  </r>
  <r>
    <s v="ORD10864"/>
    <s v="CUST0195"/>
    <d v="2025-06-07T00:00:00"/>
    <s v="West"/>
    <s v="Surat"/>
    <s v="Electronics"/>
    <x v="1"/>
    <n v="1"/>
    <n v="19850"/>
    <s v="UPI"/>
    <s v="Delivered"/>
    <n v="19850"/>
  </r>
  <r>
    <s v="ORD10865"/>
    <s v="CUST0178"/>
    <d v="2025-08-30T00:00:00"/>
    <s v="West"/>
    <s v="Ahmedabad"/>
    <s v="Home &amp; Kitchen"/>
    <x v="9"/>
    <n v="1"/>
    <n v="4000"/>
    <s v="Net Banking"/>
    <s v="Delivered"/>
    <n v="4000"/>
  </r>
  <r>
    <s v="ORD10866"/>
    <s v="CUST0126"/>
    <d v="2025-02-16T00:00:00"/>
    <s v="East"/>
    <s v="Patna"/>
    <s v="Home &amp; Kitchen"/>
    <x v="18"/>
    <n v="1"/>
    <n v="2750"/>
    <s v="Debit Card"/>
    <s v="Delivered"/>
    <n v="2750"/>
  </r>
  <r>
    <s v="ORD10867"/>
    <s v="CUST0337"/>
    <d v="2025-04-05T00:00:00"/>
    <s v="South"/>
    <m/>
    <s v="Fashion"/>
    <x v="21"/>
    <n v="1"/>
    <n v="1400"/>
    <s v="Debit Card"/>
    <s v="Delivered"/>
    <n v="1400"/>
  </r>
  <r>
    <s v="ORD10868"/>
    <s v="CUST0090"/>
    <d v="2025-11-07T00:00:00"/>
    <s v="West"/>
    <s v="Ahmedabad"/>
    <s v="Electronics"/>
    <x v="16"/>
    <n v="5"/>
    <n v="43750"/>
    <s v="UPI"/>
    <s v="Delivered"/>
    <n v="218750"/>
  </r>
  <r>
    <s v="ORD10869"/>
    <s v="CUST0160"/>
    <d v="2025-09-23T00:00:00"/>
    <s v="East"/>
    <s v="Kolkata"/>
    <s v="Home &amp; Kitchen"/>
    <x v="18"/>
    <n v="3"/>
    <n v="6250"/>
    <s v="UPI"/>
    <s v="Delivered"/>
    <n v="18750"/>
  </r>
  <r>
    <s v="ORD10870"/>
    <s v="CUST0074"/>
    <d v="2025-06-24T00:00:00"/>
    <s v="South"/>
    <s v="Vijayawada"/>
    <s v="Fashion"/>
    <x v="21"/>
    <n v="1"/>
    <n v="3550"/>
    <s v="Credit Card"/>
    <s v="Delivered"/>
    <n v="3550"/>
  </r>
  <r>
    <s v="ORD10871"/>
    <s v="CUST0293"/>
    <d v="2025-10-12T00:00:00"/>
    <s v="South"/>
    <s v="Vijayawada"/>
    <s v="Sports"/>
    <x v="3"/>
    <n v="1"/>
    <n v="2350"/>
    <s v="UPI"/>
    <s v="Cancelled"/>
    <n v="2350"/>
  </r>
  <r>
    <s v="ORD10872"/>
    <s v="CUST0176"/>
    <d v="2025-12-07T00:00:00"/>
    <s v="South"/>
    <s v="Bengaluru"/>
    <s v="Electronics"/>
    <x v="17"/>
    <n v="1"/>
    <n v="50550"/>
    <s v="Debit Card"/>
    <s v="Returned"/>
    <n v="50550"/>
  </r>
  <r>
    <s v="ORD10873"/>
    <s v="CUST0267"/>
    <d v="2025-01-29T00:00:00"/>
    <s v="West"/>
    <s v="Ahmedabad"/>
    <s v="Beauty"/>
    <x v="23"/>
    <n v="3"/>
    <n v="1150"/>
    <s v="Credit Card"/>
    <s v="Delivered"/>
    <n v="3450"/>
  </r>
  <r>
    <s v="ORD10874"/>
    <s v="CUST0441"/>
    <d v="2025-05-22T00:00:00"/>
    <s v="East"/>
    <s v="Guwahati"/>
    <s v="Sports"/>
    <x v="4"/>
    <n v="1"/>
    <n v="2650"/>
    <s v="Credit Card"/>
    <s v="Delivered"/>
    <n v="2650"/>
  </r>
  <r>
    <s v="ORD10875"/>
    <s v="CUST0325"/>
    <d v="2025-07-17T00:00:00"/>
    <s v="North"/>
    <s v="Delhi"/>
    <s v="Sports"/>
    <x v="19"/>
    <n v="3"/>
    <n v="8450"/>
    <s v="Debit Card"/>
    <s v="Delivered"/>
    <n v="25350"/>
  </r>
  <r>
    <s v="ORD10876"/>
    <s v="CUST0387"/>
    <d v="2025-07-06T00:00:00"/>
    <s v="West"/>
    <s v="Mumbai"/>
    <s v="Home &amp; Kitchen"/>
    <x v="18"/>
    <n v="2"/>
    <n v="4600"/>
    <s v="UPI"/>
    <s v="Cancelled"/>
    <n v="9200"/>
  </r>
  <r>
    <s v="ORD10877"/>
    <s v="CUST0069"/>
    <d v="2025-04-30T00:00:00"/>
    <s v="West"/>
    <s v="Ahmedabad"/>
    <s v="Home &amp; Kitchen"/>
    <x v="5"/>
    <n v="1"/>
    <n v="4600"/>
    <s v="Debit Card"/>
    <s v="Delivered"/>
    <n v="4600"/>
  </r>
  <r>
    <s v="ORD10878"/>
    <s v="CUST0312"/>
    <d v="2025-11-05T00:00:00"/>
    <s v="East"/>
    <s v="Patna"/>
    <s v="Fashion"/>
    <x v="2"/>
    <n v="1"/>
    <n v="3400"/>
    <s v="Credit Card"/>
    <s v="Shipped"/>
    <n v="3400"/>
  </r>
  <r>
    <s v="ORD10879"/>
    <s v="CUST0197"/>
    <d v="2025-10-21T00:00:00"/>
    <s v="East"/>
    <s v="Kolkata"/>
    <s v="Electronics"/>
    <x v="16"/>
    <n v="2"/>
    <n v="43700"/>
    <s v="Cash on Delivery"/>
    <s v="Delivered"/>
    <n v="87400"/>
  </r>
  <r>
    <s v="ORD10880"/>
    <s v="CUST0405"/>
    <d v="2025-06-22T00:00:00"/>
    <s v="West"/>
    <s v="Ahmedabad"/>
    <s v="Fashion"/>
    <x v="11"/>
    <n v="2"/>
    <n v="2900"/>
    <s v="Net Banking"/>
    <s v="Shipped"/>
    <n v="5800"/>
  </r>
  <r>
    <s v="ORD10881"/>
    <s v="CUST0115"/>
    <d v="2025-08-06T00:00:00"/>
    <s v="West"/>
    <s v="Pune"/>
    <s v="Electronics"/>
    <x v="22"/>
    <n v="2"/>
    <n v="22400"/>
    <s v="Debit Card"/>
    <s v="Shipped"/>
    <n v="44800"/>
  </r>
  <r>
    <s v="ORD10882"/>
    <s v="CUST0141"/>
    <d v="2025-07-18T00:00:00"/>
    <s v="East"/>
    <s v="Bhubaneswar"/>
    <s v="Fashion"/>
    <x v="12"/>
    <n v="2"/>
    <n v="3100"/>
    <s v="Credit Card"/>
    <s v="Delivered"/>
    <n v="6200"/>
  </r>
  <r>
    <s v="ORD10883"/>
    <s v="CUST0384"/>
    <d v="2025-03-13T00:00:00"/>
    <s v="South"/>
    <s v="Chennai"/>
    <s v="Electronics"/>
    <x v="16"/>
    <n v="1"/>
    <n v="10250"/>
    <s v="Credit Card"/>
    <s v="Delivered"/>
    <n v="10250"/>
  </r>
  <r>
    <s v="ORD10884"/>
    <s v="CUST0326"/>
    <d v="2025-01-17T00:00:00"/>
    <s v="South"/>
    <s v="Hyderabad"/>
    <s v="Home &amp; Kitchen"/>
    <x v="18"/>
    <n v="2"/>
    <n v="800"/>
    <s v="Net Banking"/>
    <s v="Delivered"/>
    <n v="1600"/>
  </r>
  <r>
    <s v="ORD10885"/>
    <s v="CUST0223"/>
    <d v="2025-05-01T00:00:00"/>
    <s v="East"/>
    <s v="Patna"/>
    <s v="Beauty"/>
    <x v="23"/>
    <n v="2"/>
    <n v="700"/>
    <s v="Credit Card"/>
    <s v="Shipped"/>
    <n v="1400"/>
  </r>
  <r>
    <s v="ORD10886"/>
    <s v="CUST0289"/>
    <d v="2025-01-31T00:00:00"/>
    <s v="South"/>
    <s v="Vijayawada"/>
    <s v="Electronics"/>
    <x v="16"/>
    <n v="2"/>
    <n v="52800"/>
    <s v="Debit Card"/>
    <s v="Delivered"/>
    <n v="105600"/>
  </r>
  <r>
    <s v="ORD10887"/>
    <s v="CUST0184"/>
    <d v="2025-09-27T00:00:00"/>
    <s v="South"/>
    <s v="Vijayawada"/>
    <s v="Fashion"/>
    <x v="2"/>
    <n v="3"/>
    <n v="800"/>
    <s v="UPI"/>
    <s v="Delivered"/>
    <n v="2400"/>
  </r>
  <r>
    <s v="ORD10888"/>
    <s v="CUST0278"/>
    <d v="2025-09-22T00:00:00"/>
    <s v="West"/>
    <s v="Mumbai"/>
    <s v="Beauty"/>
    <x v="23"/>
    <n v="2"/>
    <n v="2550"/>
    <s v="Debit Card"/>
    <s v="Delivered"/>
    <n v="5100"/>
  </r>
  <r>
    <s v="ORD10889"/>
    <s v="CUST0204"/>
    <d v="2025-01-06T00:00:00"/>
    <s v="North"/>
    <s v="Delhi"/>
    <s v="Fashion"/>
    <x v="12"/>
    <n v="1"/>
    <n v="3300"/>
    <s v="Cash on Delivery"/>
    <s v="Delivered"/>
    <n v="3300"/>
  </r>
  <r>
    <s v="ORD10890"/>
    <s v="CUST0025"/>
    <d v="2025-11-21T00:00:00"/>
    <s v="West"/>
    <s v="Pune"/>
    <s v="Sports"/>
    <x v="6"/>
    <n v="3"/>
    <n v="10000"/>
    <s v="Cash on Delivery"/>
    <s v="Delivered"/>
    <n v="30000"/>
  </r>
  <r>
    <s v="ORD10891"/>
    <s v="CUST0336"/>
    <d v="2025-02-07T00:00:00"/>
    <s v="South"/>
    <s v="Hyderabad"/>
    <s v="Home &amp; Kitchen"/>
    <x v="9"/>
    <n v="4"/>
    <n v="3000"/>
    <s v="Cash on Delivery"/>
    <s v="Shipped"/>
    <n v="12000"/>
  </r>
  <r>
    <s v="ORD10892"/>
    <s v="CUST0144"/>
    <d v="2025-03-17T00:00:00"/>
    <s v="South"/>
    <s v="Vijayawada"/>
    <s v="Beauty"/>
    <x v="8"/>
    <n v="1"/>
    <n v="4550"/>
    <s v="UPI"/>
    <s v="Delivered"/>
    <n v="4550"/>
  </r>
  <r>
    <s v="ORD10893"/>
    <s v="CUST0214"/>
    <d v="2025-02-19T00:00:00"/>
    <s v="North"/>
    <s v="Chandigarh"/>
    <s v="Beauty"/>
    <x v="8"/>
    <n v="1"/>
    <n v="3450"/>
    <s v="Debit Card"/>
    <s v="Delivered"/>
    <n v="3450"/>
  </r>
  <r>
    <s v="ORD10894"/>
    <s v="CUST0046"/>
    <d v="2025-03-08T00:00:00"/>
    <s v="North"/>
    <s v="Jaipur"/>
    <s v="Home &amp; Kitchen"/>
    <x v="18"/>
    <n v="2"/>
    <n v="1250"/>
    <s v="UPI"/>
    <s v="Delivered"/>
    <n v="2500"/>
  </r>
  <r>
    <s v="ORD10895"/>
    <s v="CUST0333"/>
    <d v="2025-09-29T00:00:00"/>
    <s v="South"/>
    <s v="Bengaluru"/>
    <s v="Sports"/>
    <x v="10"/>
    <n v="1"/>
    <n v="1500"/>
    <s v="Credit Card"/>
    <s v="Cancelled"/>
    <n v="1500"/>
  </r>
  <r>
    <s v="ORD10896"/>
    <s v="CUST0376"/>
    <d v="2025-06-27T00:00:00"/>
    <s v="South"/>
    <s v="Vijayawada"/>
    <s v="Electronics"/>
    <x v="16"/>
    <n v="1"/>
    <n v="41850"/>
    <s v="Credit Card"/>
    <s v="Delivered"/>
    <n v="41850"/>
  </r>
  <r>
    <s v="ORD10897"/>
    <s v="CUST0041"/>
    <d v="2025-09-11T00:00:00"/>
    <s v="West"/>
    <s v="Ahmedabad"/>
    <s v="Electronics"/>
    <x v="1"/>
    <n v="1"/>
    <n v="52650"/>
    <s v="UPI"/>
    <s v="Delivered"/>
    <n v="52650"/>
  </r>
  <r>
    <s v="ORD10898"/>
    <s v="CUST0400"/>
    <d v="2025-10-20T00:00:00"/>
    <s v="South"/>
    <s v="Bengaluru"/>
    <s v="Electronics"/>
    <x v="16"/>
    <n v="1"/>
    <n v="23700"/>
    <s v="Debit Card"/>
    <s v="Delivered"/>
    <n v="23700"/>
  </r>
  <r>
    <s v="ORD10899"/>
    <s v="CUST0415"/>
    <d v="2025-12-19T00:00:00"/>
    <s v="South"/>
    <s v="Chennai"/>
    <s v="Home &amp; Kitchen"/>
    <x v="0"/>
    <n v="2"/>
    <n v="7950"/>
    <s v="Credit Card"/>
    <s v="Delivered"/>
    <n v="15900"/>
  </r>
  <r>
    <s v="ORD10900"/>
    <s v="CUST0349"/>
    <d v="2025-01-30T00:00:00"/>
    <s v="South"/>
    <s v="Vijayawada"/>
    <s v="Sports"/>
    <x v="6"/>
    <n v="2"/>
    <n v="9400"/>
    <s v="Debit Card"/>
    <s v="Delivered"/>
    <n v="18800"/>
  </r>
  <r>
    <s v="ORD10901"/>
    <s v="CUST0147"/>
    <d v="2025-09-16T00:00:00"/>
    <s v="South"/>
    <s v="Vijayawada"/>
    <s v="Beauty"/>
    <x v="8"/>
    <n v="3"/>
    <n v="1650"/>
    <s v="UPI"/>
    <s v="Cancelled"/>
    <n v="4950"/>
  </r>
  <r>
    <s v="ORD10902"/>
    <s v="CUST0005"/>
    <d v="2025-03-19T00:00:00"/>
    <s v="West"/>
    <s v="Ahmedabad"/>
    <s v="Fashion"/>
    <x v="13"/>
    <n v="3"/>
    <n v="6800"/>
    <s v="UPI"/>
    <s v="Delivered"/>
    <n v="20400"/>
  </r>
  <r>
    <s v="ORD10903"/>
    <s v="CUST0053"/>
    <d v="2025-03-18T00:00:00"/>
    <s v="West"/>
    <s v="Ahmedabad"/>
    <s v="Fashion"/>
    <x v="2"/>
    <n v="3"/>
    <n v="4600"/>
    <s v="Credit Card"/>
    <s v="Shipped"/>
    <n v="13800"/>
  </r>
  <r>
    <s v="ORD10904"/>
    <s v="CUST0365"/>
    <d v="2025-07-08T00:00:00"/>
    <s v="South"/>
    <s v="Bengaluru"/>
    <s v="Home &amp; Kitchen"/>
    <x v="15"/>
    <n v="4"/>
    <n v="900"/>
    <s v="UPI"/>
    <s v="Cancelled"/>
    <n v="3600"/>
  </r>
  <r>
    <s v="ORD10905"/>
    <s v="CUST0048"/>
    <d v="2025-07-02T00:00:00"/>
    <s v="North"/>
    <s v="Delhi"/>
    <s v="Sports"/>
    <x v="3"/>
    <n v="2"/>
    <n v="550"/>
    <s v="Cash on Delivery"/>
    <s v="Delivered"/>
    <n v="1100"/>
  </r>
  <r>
    <s v="ORD10906"/>
    <s v="CUST0095"/>
    <d v="2025-11-22T00:00:00"/>
    <s v="North"/>
    <s v="Chandigarh"/>
    <s v="Home &amp; Kitchen"/>
    <x v="9"/>
    <n v="4"/>
    <n v="1800"/>
    <s v="Credit Card"/>
    <s v="Delivered"/>
    <n v="7200"/>
  </r>
  <r>
    <s v="ORD10907"/>
    <s v="CUST0223"/>
    <d v="2025-04-30T00:00:00"/>
    <s v="South"/>
    <s v="Vijayawada"/>
    <s v="Fashion"/>
    <x v="11"/>
    <n v="1"/>
    <n v="4800"/>
    <s v="Debit Card"/>
    <s v="Delivered"/>
    <n v="4800"/>
  </r>
  <r>
    <s v="ORD10908"/>
    <s v="CUST0076"/>
    <d v="2025-05-17T00:00:00"/>
    <s v="West"/>
    <s v="Mumbai"/>
    <s v="Sports"/>
    <x v="3"/>
    <n v="1"/>
    <n v="950"/>
    <s v="Net Banking"/>
    <s v="Delivered"/>
    <n v="950"/>
  </r>
  <r>
    <s v="ORD10909"/>
    <s v="CUST0116"/>
    <d v="2025-03-21T00:00:00"/>
    <s v="North"/>
    <s v="Jaipur"/>
    <s v="Beauty"/>
    <x v="23"/>
    <n v="1"/>
    <n v="3800"/>
    <s v="Cash on Delivery"/>
    <s v="Cancelled"/>
    <n v="3800"/>
  </r>
  <r>
    <s v="ORD10910"/>
    <s v="CUST0441"/>
    <d v="2025-09-26T00:00:00"/>
    <s v="North"/>
    <s v="Chandigarh"/>
    <s v="Fashion"/>
    <x v="21"/>
    <n v="5"/>
    <n v="7000"/>
    <s v="Credit Card"/>
    <s v="Shipped"/>
    <n v="35000"/>
  </r>
  <r>
    <s v="ORD10911"/>
    <s v="CUST0071"/>
    <d v="2025-06-12T00:00:00"/>
    <s v="East"/>
    <s v="Kolkata"/>
    <s v="Beauty"/>
    <x v="20"/>
    <n v="1"/>
    <n v="1750"/>
    <s v="UPI"/>
    <s v="Delivered"/>
    <n v="1750"/>
  </r>
  <r>
    <s v="ORD10912"/>
    <s v="CUST0151"/>
    <d v="2025-07-30T00:00:00"/>
    <s v="North"/>
    <s v="Chandigarh"/>
    <s v="Home &amp; Kitchen"/>
    <x v="5"/>
    <n v="2"/>
    <n v="2750"/>
    <s v="UPI"/>
    <s v="Delivered"/>
    <n v="5500"/>
  </r>
  <r>
    <s v="ORD10913"/>
    <s v="CUST0347"/>
    <d v="2025-11-04T00:00:00"/>
    <s v="South"/>
    <s v="Hyderabad"/>
    <s v="Sports"/>
    <x v="6"/>
    <n v="1"/>
    <n v="4200"/>
    <s v="Net Banking"/>
    <s v="Delivered"/>
    <n v="4200"/>
  </r>
  <r>
    <s v="ORD10914"/>
    <s v="CUST0425"/>
    <d v="2025-08-22T00:00:00"/>
    <s v="East"/>
    <s v="Patna"/>
    <s v="Electronics"/>
    <x v="17"/>
    <n v="1"/>
    <n v="44500"/>
    <s v="UPI"/>
    <s v="Shipped"/>
    <n v="44500"/>
  </r>
  <r>
    <s v="ORD10915"/>
    <s v="CUST0377"/>
    <d v="2025-08-19T00:00:00"/>
    <s v="North"/>
    <s v="Lucknow"/>
    <s v="Home &amp; Kitchen"/>
    <x v="15"/>
    <n v="3"/>
    <n v="6550"/>
    <s v="UPI"/>
    <s v="Delivered"/>
    <n v="19650"/>
  </r>
  <r>
    <s v="ORD10916"/>
    <s v="CUST0445"/>
    <d v="2025-08-23T00:00:00"/>
    <s v="North"/>
    <s v="Delhi"/>
    <s v="Electronics"/>
    <x v="17"/>
    <n v="2"/>
    <n v="15500"/>
    <s v="UPI"/>
    <s v="Cancelled"/>
    <n v="31000"/>
  </r>
  <r>
    <s v="ORD10917"/>
    <s v="CUST0267"/>
    <d v="2025-11-13T00:00:00"/>
    <s v="North"/>
    <s v="Lucknow"/>
    <s v="Fashion"/>
    <x v="11"/>
    <n v="2"/>
    <n v="5850"/>
    <s v="Cash on Delivery"/>
    <s v="Cancelled"/>
    <n v="11700"/>
  </r>
  <r>
    <s v="ORD10918"/>
    <s v="CUST0175"/>
    <d v="2025-01-01T00:00:00"/>
    <s v="South"/>
    <s v="Vijayawada"/>
    <s v="Home &amp; Kitchen"/>
    <x v="15"/>
    <n v="3"/>
    <n v="1350"/>
    <s v="UPI"/>
    <s v="Delivered"/>
    <n v="4050"/>
  </r>
  <r>
    <s v="ORD10919"/>
    <s v="CUST0111"/>
    <d v="2025-07-24T00:00:00"/>
    <s v="North"/>
    <s v="Delhi"/>
    <s v="Electronics"/>
    <x v="7"/>
    <n v="1"/>
    <n v="37250"/>
    <s v="UPI"/>
    <s v="Delivered"/>
    <n v="37250"/>
  </r>
  <r>
    <s v="ORD10920"/>
    <s v="CUST0271"/>
    <d v="2025-03-01T00:00:00"/>
    <s v="East"/>
    <s v="Bhubaneswar"/>
    <s v="Fashion"/>
    <x v="12"/>
    <n v="1"/>
    <n v="1300"/>
    <s v="UPI"/>
    <s v="Delivered"/>
    <n v="1300"/>
  </r>
  <r>
    <s v="ORD10921"/>
    <s v="CUST0378"/>
    <d v="2025-08-11T00:00:00"/>
    <s v="South"/>
    <s v="Bengaluru"/>
    <s v="Home &amp; Kitchen"/>
    <x v="9"/>
    <n v="1"/>
    <n v="3850"/>
    <s v="UPI"/>
    <s v="Delivered"/>
    <n v="3850"/>
  </r>
  <r>
    <s v="ORD10922"/>
    <s v="CUST0127"/>
    <d v="2025-05-15T00:00:00"/>
    <s v="North"/>
    <s v="Delhi"/>
    <s v="Electronics"/>
    <x v="16"/>
    <n v="5"/>
    <n v="21050"/>
    <s v="UPI"/>
    <s v="Delivered"/>
    <n v="105250"/>
  </r>
  <r>
    <s v="ORD10923"/>
    <s v="CUST0436"/>
    <d v="2025-01-04T00:00:00"/>
    <s v="West"/>
    <s v="Surat"/>
    <s v="Fashion"/>
    <x v="12"/>
    <n v="2"/>
    <n v="7200"/>
    <s v="Credit Card"/>
    <s v="Delivered"/>
    <n v="14400"/>
  </r>
  <r>
    <s v="ORD10924"/>
    <s v="CUST0207"/>
    <d v="2025-04-17T00:00:00"/>
    <s v="North"/>
    <s v="Delhi"/>
    <s v="Home &amp; Kitchen"/>
    <x v="5"/>
    <n v="2"/>
    <n v="4750"/>
    <s v="Credit Card"/>
    <s v="Delivered"/>
    <n v="9500"/>
  </r>
  <r>
    <s v="ORD10925"/>
    <s v="CUST0035"/>
    <d v="2025-10-11T00:00:00"/>
    <s v="North"/>
    <s v="Chandigarh"/>
    <s v="Sports"/>
    <x v="6"/>
    <n v="1"/>
    <n v="8350"/>
    <s v="UPI"/>
    <s v="Delivered"/>
    <n v="8350"/>
  </r>
  <r>
    <s v="ORD10926"/>
    <s v="CUST0333"/>
    <d v="2025-05-07T00:00:00"/>
    <s v="North"/>
    <s v="Delhi"/>
    <s v="Sports"/>
    <x v="19"/>
    <n v="2"/>
    <n v="8900"/>
    <s v="UPI"/>
    <s v="Delivered"/>
    <n v="17800"/>
  </r>
  <r>
    <s v="ORD10927"/>
    <s v="CUST0038"/>
    <d v="2025-05-19T00:00:00"/>
    <s v="South"/>
    <s v="Vijayawada"/>
    <s v="Electronics"/>
    <x v="1"/>
    <n v="1"/>
    <n v="51900"/>
    <s v="Credit Card"/>
    <s v="Cancelled"/>
    <n v="51900"/>
  </r>
  <r>
    <s v="ORD10928"/>
    <s v="CUST0244"/>
    <d v="2025-12-24T00:00:00"/>
    <s v="West"/>
    <s v="Mumbai"/>
    <s v="Fashion"/>
    <x v="13"/>
    <n v="2"/>
    <n v="2250"/>
    <s v="UPI"/>
    <s v="Delivered"/>
    <n v="4500"/>
  </r>
  <r>
    <s v="ORD10929"/>
    <s v="CUST0155"/>
    <d v="2025-09-02T00:00:00"/>
    <s v="East"/>
    <s v="Bhubaneswar"/>
    <s v="Fashion"/>
    <x v="2"/>
    <n v="4"/>
    <n v="1000"/>
    <s v="UPI"/>
    <s v="Shipped"/>
    <n v="4000"/>
  </r>
  <r>
    <s v="ORD10930"/>
    <s v="CUST0439"/>
    <d v="2025-01-19T00:00:00"/>
    <s v="South"/>
    <s v="Vijayawada"/>
    <s v="Beauty"/>
    <x v="14"/>
    <n v="2"/>
    <n v="3900"/>
    <s v="UPI"/>
    <s v="Delivered"/>
    <n v="7800"/>
  </r>
  <r>
    <s v="ORD10931"/>
    <s v="CUST0433"/>
    <d v="2025-08-24T00:00:00"/>
    <s v="East"/>
    <s v="Patna"/>
    <s v="Fashion"/>
    <x v="21"/>
    <n v="1"/>
    <n v="4000"/>
    <s v="Debit Card"/>
    <s v="Cancelled"/>
    <n v="4000"/>
  </r>
  <r>
    <s v="ORD10932"/>
    <s v="CUST0367"/>
    <d v="2025-02-07T00:00:00"/>
    <s v="West"/>
    <s v="Ahmedabad"/>
    <s v="Sports"/>
    <x v="4"/>
    <n v="1"/>
    <n v="6800"/>
    <s v="UPI"/>
    <s v="Delivered"/>
    <n v="6800"/>
  </r>
  <r>
    <s v="ORD10933"/>
    <s v="CUST0244"/>
    <d v="2025-11-20T00:00:00"/>
    <s v="East"/>
    <s v="Patna"/>
    <s v="Sports"/>
    <x v="3"/>
    <n v="1"/>
    <n v="1950"/>
    <s v="Cash on Delivery"/>
    <s v="Delivered"/>
    <n v="1950"/>
  </r>
  <r>
    <s v="ORD10934"/>
    <s v="CUST0222"/>
    <d v="2025-04-25T00:00:00"/>
    <s v="South"/>
    <s v="Hyderabad"/>
    <s v="Sports"/>
    <x v="4"/>
    <n v="2"/>
    <n v="7050"/>
    <s v="Net Banking"/>
    <s v="Delivered"/>
    <n v="14100"/>
  </r>
  <r>
    <s v="ORD10935"/>
    <s v="CUST0077"/>
    <d v="2025-05-07T00:00:00"/>
    <s v="East"/>
    <s v="Patna"/>
    <s v="Electronics"/>
    <x v="1"/>
    <n v="1"/>
    <n v="59550"/>
    <s v="Credit Card"/>
    <s v="Delivered"/>
    <n v="59550"/>
  </r>
  <r>
    <s v="ORD10936"/>
    <s v="CUST0061"/>
    <d v="2025-09-21T00:00:00"/>
    <s v="West"/>
    <s v="Surat"/>
    <s v="Fashion"/>
    <x v="12"/>
    <n v="2"/>
    <n v="2750"/>
    <s v="UPI"/>
    <s v="Shipped"/>
    <n v="5500"/>
  </r>
  <r>
    <s v="ORD10937"/>
    <s v="CUST0336"/>
    <d v="2025-07-15T00:00:00"/>
    <s v="West"/>
    <s v="Mumbai"/>
    <s v="Sports"/>
    <x v="19"/>
    <n v="1"/>
    <n v="3100"/>
    <s v="UPI"/>
    <s v="Delivered"/>
    <n v="3100"/>
  </r>
  <r>
    <s v="ORD10938"/>
    <s v="CUST0279"/>
    <d v="2025-10-31T00:00:00"/>
    <s v="South"/>
    <s v="Bengaluru"/>
    <s v="Home &amp; Kitchen"/>
    <x v="5"/>
    <n v="1"/>
    <n v="2900"/>
    <s v="Net Banking"/>
    <s v="Delivered"/>
    <n v="2900"/>
  </r>
  <r>
    <s v="ORD10939"/>
    <s v="CUST0236"/>
    <d v="2025-05-08T00:00:00"/>
    <s v="West"/>
    <s v="Ahmedabad"/>
    <s v="Sports"/>
    <x v="3"/>
    <n v="2"/>
    <n v="1050"/>
    <s v="Cash on Delivery"/>
    <s v="Delivered"/>
    <n v="2100"/>
  </r>
  <r>
    <s v="ORD10940"/>
    <s v="CUST0148"/>
    <d v="2025-01-29T00:00:00"/>
    <s v="West"/>
    <s v="Pune"/>
    <s v="Beauty"/>
    <x v="24"/>
    <n v="3"/>
    <n v="2400"/>
    <s v="Credit Card"/>
    <s v="Shipped"/>
    <n v="7200"/>
  </r>
  <r>
    <s v="ORD10941"/>
    <s v="CUST0364"/>
    <d v="2025-08-31T00:00:00"/>
    <s v="North"/>
    <s v="Delhi"/>
    <s v="Home &amp; Kitchen"/>
    <x v="9"/>
    <n v="3"/>
    <n v="350"/>
    <s v="Cash on Delivery"/>
    <s v="Delivered"/>
    <n v="1050"/>
  </r>
  <r>
    <s v="ORD10942"/>
    <s v="CUST0012"/>
    <d v="2025-09-20T00:00:00"/>
    <s v="East"/>
    <s v="Kolkata"/>
    <s v="Electronics"/>
    <x v="16"/>
    <n v="1"/>
    <n v="7050"/>
    <s v="Cash on Delivery"/>
    <s v="Delivered"/>
    <n v="7050"/>
  </r>
  <r>
    <s v="ORD10943"/>
    <s v="CUST0193"/>
    <d v="2025-03-17T00:00:00"/>
    <s v="South"/>
    <s v="Chennai"/>
    <s v="Sports"/>
    <x v="3"/>
    <n v="2"/>
    <n v="1450"/>
    <s v="Cash on Delivery"/>
    <s v="Delivered"/>
    <n v="2900"/>
  </r>
  <r>
    <s v="ORD10944"/>
    <s v="CUST0326"/>
    <d v="2025-05-16T00:00:00"/>
    <s v="South"/>
    <s v="Hyderabad"/>
    <s v="Electronics"/>
    <x v="7"/>
    <n v="2"/>
    <n v="62450"/>
    <s v="Cash on Delivery"/>
    <s v="Delivered"/>
    <n v="124900"/>
  </r>
  <r>
    <s v="ORD10945"/>
    <s v="CUST0440"/>
    <d v="2025-04-15T00:00:00"/>
    <s v="South"/>
    <s v="Chennai"/>
    <s v="Electronics"/>
    <x v="7"/>
    <n v="1"/>
    <n v="41300"/>
    <s v="Net Banking"/>
    <s v="Delivered"/>
    <n v="41300"/>
  </r>
  <r>
    <s v="ORD10946"/>
    <s v="CUST0125"/>
    <d v="2025-11-15T00:00:00"/>
    <s v="East"/>
    <s v="Guwahati"/>
    <s v="Electronics"/>
    <x v="7"/>
    <n v="1"/>
    <n v="37400"/>
    <s v="Credit Card"/>
    <s v="Delivered"/>
    <n v="37400"/>
  </r>
  <r>
    <s v="ORD10947"/>
    <s v="CUST0444"/>
    <d v="2025-09-22T00:00:00"/>
    <s v="West"/>
    <s v="Ahmedabad"/>
    <s v="Sports"/>
    <x v="3"/>
    <n v="4"/>
    <n v="5550"/>
    <s v="Net Banking"/>
    <s v="Delivered"/>
    <n v="22200"/>
  </r>
  <r>
    <s v="ORD10948"/>
    <s v="CUST0246"/>
    <d v="2025-03-18T00:00:00"/>
    <s v="West"/>
    <s v="Surat"/>
    <s v="Beauty"/>
    <x v="14"/>
    <n v="1"/>
    <n v="2750"/>
    <s v="Cash on Delivery"/>
    <s v="Delivered"/>
    <n v="2750"/>
  </r>
  <r>
    <s v="ORD10949"/>
    <s v="CUST0447"/>
    <d v="2025-11-17T00:00:00"/>
    <s v="East"/>
    <s v="Patna"/>
    <s v="Home &amp; Kitchen"/>
    <x v="0"/>
    <n v="4"/>
    <n v="3050"/>
    <s v="Credit Card"/>
    <s v="Delivered"/>
    <n v="12200"/>
  </r>
  <r>
    <s v="ORD10950"/>
    <s v="CUST0313"/>
    <d v="2025-08-16T00:00:00"/>
    <s v="East"/>
    <s v="Bhubaneswar"/>
    <s v="Electronics"/>
    <x v="22"/>
    <n v="4"/>
    <n v="25550"/>
    <s v="Cash on Delivery"/>
    <s v="Returned"/>
    <n v="102200"/>
  </r>
  <r>
    <s v="ORD10951"/>
    <s v="CUST0019"/>
    <d v="2025-03-07T00:00:00"/>
    <s v="West"/>
    <s v="Pune"/>
    <s v="Beauty"/>
    <x v="20"/>
    <n v="5"/>
    <n v="1650"/>
    <s v="Debit Card"/>
    <s v="Delivered"/>
    <n v="8250"/>
  </r>
  <r>
    <s v="ORD10952"/>
    <s v="CUST0105"/>
    <d v="2025-11-20T00:00:00"/>
    <s v="East"/>
    <s v="Bhubaneswar"/>
    <s v="Beauty"/>
    <x v="23"/>
    <n v="1"/>
    <n v="2750"/>
    <s v="Debit Card"/>
    <s v="Delivered"/>
    <n v="2750"/>
  </r>
  <r>
    <s v="ORD10953"/>
    <s v="CUST0005"/>
    <d v="2025-07-16T00:00:00"/>
    <s v="South"/>
    <s v="Hyderabad"/>
    <s v="Home &amp; Kitchen"/>
    <x v="0"/>
    <n v="1"/>
    <n v="7850"/>
    <s v="Debit Card"/>
    <s v="Delivered"/>
    <n v="7850"/>
  </r>
  <r>
    <s v="ORD10954"/>
    <s v="CUST0234"/>
    <d v="2025-03-02T00:00:00"/>
    <s v="South"/>
    <s v="Hyderabad"/>
    <s v="Beauty"/>
    <x v="20"/>
    <n v="2"/>
    <n v="4850"/>
    <s v="UPI"/>
    <s v="Delivered"/>
    <n v="9700"/>
  </r>
  <r>
    <s v="ORD10955"/>
    <s v="CUST0307"/>
    <d v="2025-05-12T00:00:00"/>
    <s v="West"/>
    <s v="Pune"/>
    <s v="Fashion"/>
    <x v="13"/>
    <n v="4"/>
    <n v="2700"/>
    <s v="UPI"/>
    <s v="Delivered"/>
    <n v="10800"/>
  </r>
  <r>
    <s v="ORD10956"/>
    <s v="CUST0019"/>
    <d v="2025-08-14T00:00:00"/>
    <s v="South"/>
    <s v="Bengaluru"/>
    <s v="Electronics"/>
    <x v="1"/>
    <n v="1"/>
    <n v="56650"/>
    <s v="Debit Card"/>
    <s v="Delivered"/>
    <n v="56650"/>
  </r>
  <r>
    <s v="ORD10957"/>
    <s v="CUST0349"/>
    <d v="2025-11-17T00:00:00"/>
    <s v="North"/>
    <s v="Lucknow"/>
    <s v="Home &amp; Kitchen"/>
    <x v="18"/>
    <n v="1"/>
    <n v="1050"/>
    <s v="Cash on Delivery"/>
    <s v="Delivered"/>
    <n v="1050"/>
  </r>
  <r>
    <s v="ORD10958"/>
    <s v="CUST0051"/>
    <d v="2025-12-07T00:00:00"/>
    <s v="South"/>
    <s v="Chennai"/>
    <s v="Beauty"/>
    <x v="24"/>
    <n v="2"/>
    <n v="1650"/>
    <s v="UPI"/>
    <s v="Delivered"/>
    <n v="3300"/>
  </r>
  <r>
    <s v="ORD10959"/>
    <s v="CUST0253"/>
    <d v="2025-05-02T00:00:00"/>
    <s v="South"/>
    <s v="Hyderabad"/>
    <s v="Electronics"/>
    <x v="7"/>
    <n v="1"/>
    <n v="64750"/>
    <s v="UPI"/>
    <s v="Delivered"/>
    <n v="64750"/>
  </r>
  <r>
    <s v="ORD10960"/>
    <s v="CUST0216"/>
    <d v="2025-07-24T00:00:00"/>
    <s v="South"/>
    <s v="Bengaluru"/>
    <s v="Home &amp; Kitchen"/>
    <x v="15"/>
    <n v="1"/>
    <n v="3200"/>
    <s v="Credit Card"/>
    <s v="Delivered"/>
    <n v="3200"/>
  </r>
  <r>
    <s v="ORD10961"/>
    <s v="CUST0366"/>
    <d v="2025-01-01T00:00:00"/>
    <s v="West"/>
    <s v="Ahmedabad"/>
    <s v="Home &amp; Kitchen"/>
    <x v="9"/>
    <n v="4"/>
    <n v="3800"/>
    <s v="Credit Card"/>
    <s v="Delivered"/>
    <n v="15200"/>
  </r>
  <r>
    <s v="ORD10962"/>
    <s v="CUST0401"/>
    <d v="2025-10-31T00:00:00"/>
    <s v="East"/>
    <s v="Guwahati"/>
    <s v="Electronics"/>
    <x v="22"/>
    <n v="3"/>
    <n v="11900"/>
    <s v="UPI"/>
    <s v="Delivered"/>
    <n v="35700"/>
  </r>
  <r>
    <s v="ORD10963"/>
    <s v="CUST0365"/>
    <d v="2025-02-04T00:00:00"/>
    <s v="South"/>
    <s v="Vijayawada"/>
    <s v="Fashion"/>
    <x v="12"/>
    <n v="4"/>
    <n v="5900"/>
    <s v="Cash on Delivery"/>
    <s v="Delivered"/>
    <n v="23600"/>
  </r>
  <r>
    <s v="ORD10964"/>
    <s v="CUST0344"/>
    <d v="2025-05-29T00:00:00"/>
    <s v="North"/>
    <s v="Jaipur"/>
    <s v="Home &amp; Kitchen"/>
    <x v="5"/>
    <n v="3"/>
    <n v="8800"/>
    <s v="Credit Card"/>
    <s v="Delivered"/>
    <n v="26400"/>
  </r>
  <r>
    <s v="ORD10965"/>
    <s v="CUST0086"/>
    <d v="2025-10-01T00:00:00"/>
    <s v="West"/>
    <s v="Pune"/>
    <s v="Fashion"/>
    <x v="21"/>
    <n v="1"/>
    <n v="3750"/>
    <s v="Cash on Delivery"/>
    <s v="Delivered"/>
    <n v="3750"/>
  </r>
  <r>
    <s v="ORD10966"/>
    <s v="CUST0293"/>
    <d v="2025-10-18T00:00:00"/>
    <s v="West"/>
    <s v="Surat"/>
    <s v="Electronics"/>
    <x v="22"/>
    <n v="1"/>
    <n v="47650"/>
    <s v="Debit Card"/>
    <s v="Delivered"/>
    <n v="47650"/>
  </r>
  <r>
    <s v="ORD10967"/>
    <s v="CUST0424"/>
    <d v="2025-09-30T00:00:00"/>
    <s v="West"/>
    <s v="Pune"/>
    <s v="Beauty"/>
    <x v="23"/>
    <n v="2"/>
    <n v="250"/>
    <s v="Credit Card"/>
    <s v="Shipped"/>
    <n v="500"/>
  </r>
  <r>
    <s v="ORD10968"/>
    <s v="CUST0108"/>
    <d v="2025-07-30T00:00:00"/>
    <s v="South"/>
    <s v="Hyderabad"/>
    <s v="Sports"/>
    <x v="19"/>
    <n v="1"/>
    <n v="1300"/>
    <s v="Debit Card"/>
    <s v="Delivered"/>
    <n v="1300"/>
  </r>
  <r>
    <s v="ORD10969"/>
    <s v="CUST0029"/>
    <d v="2025-07-21T00:00:00"/>
    <s v="South"/>
    <s v="Vijayawada"/>
    <s v="Electronics"/>
    <x v="17"/>
    <n v="1"/>
    <n v="53150"/>
    <s v="Cash on Delivery"/>
    <s v="Delivered"/>
    <n v="53150"/>
  </r>
  <r>
    <s v="ORD10970"/>
    <s v="CUST0265"/>
    <d v="2025-05-15T00:00:00"/>
    <s v="West"/>
    <s v="Ahmedabad"/>
    <s v="Sports"/>
    <x v="4"/>
    <n v="1"/>
    <n v="800"/>
    <s v="Debit Card"/>
    <s v="Delivered"/>
    <n v="800"/>
  </r>
  <r>
    <s v="ORD10971"/>
    <s v="CUST0020"/>
    <d v="2025-02-19T00:00:00"/>
    <s v="West"/>
    <s v="Mumbai"/>
    <s v="Sports"/>
    <x v="3"/>
    <n v="1"/>
    <n v="4700"/>
    <s v="UPI"/>
    <s v="Delivered"/>
    <n v="4700"/>
  </r>
  <r>
    <s v="ORD10972"/>
    <s v="CUST0297"/>
    <d v="2025-10-28T00:00:00"/>
    <s v="North"/>
    <s v="Chandigarh"/>
    <s v="Beauty"/>
    <x v="20"/>
    <n v="2"/>
    <n v="4250"/>
    <s v="Debit Card"/>
    <s v="Delivered"/>
    <n v="8500"/>
  </r>
  <r>
    <s v="ORD10973"/>
    <s v="CUST0275"/>
    <d v="2025-07-27T00:00:00"/>
    <s v="North"/>
    <s v="Jaipur"/>
    <s v="Beauty"/>
    <x v="14"/>
    <n v="1"/>
    <n v="1250"/>
    <s v="UPI"/>
    <s v="Delivered"/>
    <n v="1250"/>
  </r>
  <r>
    <s v="ORD10974"/>
    <s v="CUST0343"/>
    <d v="2025-11-07T00:00:00"/>
    <s v="West"/>
    <s v="Ahmedabad"/>
    <s v="Home &amp; Kitchen"/>
    <x v="9"/>
    <n v="1"/>
    <n v="2600"/>
    <s v="Debit Card"/>
    <s v="Delivered"/>
    <n v="2600"/>
  </r>
  <r>
    <s v="ORD10975"/>
    <s v="CUST0421"/>
    <d v="2025-04-04T00:00:00"/>
    <s v="East"/>
    <s v="Patna"/>
    <s v="Electronics"/>
    <x v="22"/>
    <n v="1"/>
    <n v="7500"/>
    <s v="UPI"/>
    <s v="Delivered"/>
    <n v="7500"/>
  </r>
  <r>
    <s v="ORD10976"/>
    <s v="CUST0069"/>
    <d v="2025-09-02T00:00:00"/>
    <s v="South"/>
    <s v="Vijayawada"/>
    <s v="Electronics"/>
    <x v="16"/>
    <n v="4"/>
    <n v="36600"/>
    <s v="UPI"/>
    <s v="Delivered"/>
    <n v="146400"/>
  </r>
  <r>
    <s v="ORD10977"/>
    <s v="CUST0107"/>
    <d v="2025-10-31T00:00:00"/>
    <s v="North"/>
    <s v="Chandigarh"/>
    <s v="Home &amp; Kitchen"/>
    <x v="5"/>
    <n v="2"/>
    <n v="8500"/>
    <s v="Credit Card"/>
    <s v="Shipped"/>
    <n v="17000"/>
  </r>
  <r>
    <s v="ORD10978"/>
    <s v="CUST0327"/>
    <d v="2025-04-18T00:00:00"/>
    <s v="South"/>
    <s v="Bengaluru"/>
    <s v="Fashion"/>
    <x v="12"/>
    <n v="2"/>
    <n v="7750"/>
    <s v="Cash on Delivery"/>
    <s v="Delivered"/>
    <n v="15500"/>
  </r>
  <r>
    <s v="ORD10979"/>
    <s v="CUST0181"/>
    <d v="2025-06-06T00:00:00"/>
    <s v="East"/>
    <s v="Bhubaneswar"/>
    <s v="Home &amp; Kitchen"/>
    <x v="9"/>
    <n v="1"/>
    <n v="5050"/>
    <s v="UPI"/>
    <s v="Delivered"/>
    <n v="5050"/>
  </r>
  <r>
    <s v="ORD10980"/>
    <s v="CUST0348"/>
    <d v="2025-06-15T00:00:00"/>
    <s v="East"/>
    <s v="Guwahati"/>
    <s v="Electronics"/>
    <x v="7"/>
    <n v="1"/>
    <n v="9250"/>
    <s v="Credit Card"/>
    <s v="Delivered"/>
    <n v="9250"/>
  </r>
  <r>
    <s v="ORD10981"/>
    <s v="CUST0099"/>
    <d v="2025-08-30T00:00:00"/>
    <s v="West"/>
    <s v="Pune"/>
    <s v="Sports"/>
    <x v="19"/>
    <n v="1"/>
    <n v="1100"/>
    <s v="Debit Card"/>
    <s v="Delivered"/>
    <n v="1100"/>
  </r>
  <r>
    <s v="ORD10982"/>
    <s v="CUST0371"/>
    <d v="2025-12-09T00:00:00"/>
    <s v="South"/>
    <s v="Vijayawada"/>
    <s v="Home &amp; Kitchen"/>
    <x v="5"/>
    <n v="1"/>
    <n v="5300"/>
    <s v="Credit Card"/>
    <s v="Delivered"/>
    <n v="5300"/>
  </r>
  <r>
    <s v="ORD10983"/>
    <s v="CUST0390"/>
    <d v="2025-10-07T00:00:00"/>
    <s v="West"/>
    <s v="Surat"/>
    <s v="Sports"/>
    <x v="4"/>
    <n v="2"/>
    <n v="3650"/>
    <s v="UPI"/>
    <s v="Delivered"/>
    <n v="7300"/>
  </r>
  <r>
    <s v="ORD10984"/>
    <s v="CUST0191"/>
    <d v="2025-11-21T00:00:00"/>
    <s v="South"/>
    <s v="Vijayawada"/>
    <s v="Sports"/>
    <x v="4"/>
    <n v="2"/>
    <n v="7200"/>
    <s v="Credit Card"/>
    <s v="Shipped"/>
    <n v="14400"/>
  </r>
  <r>
    <s v="ORD10985"/>
    <s v="CUST0053"/>
    <d v="2025-01-18T00:00:00"/>
    <s v="East"/>
    <s v="Kolkata"/>
    <s v="Home &amp; Kitchen"/>
    <x v="5"/>
    <n v="1"/>
    <n v="4950"/>
    <s v="UPI"/>
    <s v="Delivered"/>
    <n v="4950"/>
  </r>
  <r>
    <s v="ORD10986"/>
    <s v="CUST0252"/>
    <d v="2025-01-08T00:00:00"/>
    <s v="North"/>
    <s v="Lucknow"/>
    <s v="Fashion"/>
    <x v="12"/>
    <n v="3"/>
    <n v="8000"/>
    <s v="Debit Card"/>
    <s v="Returned"/>
    <n v="24000"/>
  </r>
  <r>
    <s v="ORD10987"/>
    <s v="CUST0186"/>
    <d v="2025-06-17T00:00:00"/>
    <s v="South"/>
    <s v="Hyderabad"/>
    <s v="Fashion"/>
    <x v="13"/>
    <n v="2"/>
    <n v="4000"/>
    <s v="Cash on Delivery"/>
    <s v="Delivered"/>
    <n v="8000"/>
  </r>
  <r>
    <s v="ORD10988"/>
    <s v="CUST0424"/>
    <d v="2025-02-01T00:00:00"/>
    <s v="South"/>
    <s v="Vijayawada"/>
    <s v="Electronics"/>
    <x v="16"/>
    <n v="1"/>
    <n v="9100"/>
    <s v="Credit Card"/>
    <s v="Delivered"/>
    <n v="9100"/>
  </r>
  <r>
    <s v="ORD10989"/>
    <s v="CUST0045"/>
    <d v="2025-04-15T00:00:00"/>
    <s v="North"/>
    <s v="Chandigarh"/>
    <s v="Sports"/>
    <x v="6"/>
    <n v="2"/>
    <n v="7400"/>
    <s v="UPI"/>
    <s v="Delivered"/>
    <n v="14800"/>
  </r>
  <r>
    <s v="ORD10990"/>
    <s v="CUST0082"/>
    <d v="2025-05-15T00:00:00"/>
    <s v="South"/>
    <s v="Bengaluru"/>
    <s v="Fashion"/>
    <x v="11"/>
    <n v="5"/>
    <n v="2400"/>
    <s v="UPI"/>
    <s v="Delivered"/>
    <n v="12000"/>
  </r>
  <r>
    <s v="ORD10991"/>
    <s v="CUST0088"/>
    <d v="2025-04-07T00:00:00"/>
    <s v="West"/>
    <s v="Ahmedabad"/>
    <s v="Sports"/>
    <x v="19"/>
    <n v="4"/>
    <n v="9200"/>
    <s v="Debit Card"/>
    <s v="Delivered"/>
    <n v="36800"/>
  </r>
  <r>
    <s v="ORD10992"/>
    <s v="CUST0309"/>
    <d v="2025-08-19T00:00:00"/>
    <s v="East"/>
    <s v="Patna"/>
    <s v="Electronics"/>
    <x v="16"/>
    <n v="2"/>
    <n v="49500"/>
    <s v="Debit Card"/>
    <s v="Returned"/>
    <n v="99000"/>
  </r>
  <r>
    <s v="ORD10993"/>
    <s v="CUST0443"/>
    <d v="2025-04-03T00:00:00"/>
    <s v="South"/>
    <s v="Hyderabad"/>
    <s v="Home &amp; Kitchen"/>
    <x v="9"/>
    <n v="1"/>
    <n v="450"/>
    <s v="UPI"/>
    <s v="Cancelled"/>
    <n v="450"/>
  </r>
  <r>
    <s v="ORD10994"/>
    <s v="CUST0015"/>
    <d v="2025-06-13T00:00:00"/>
    <s v="West"/>
    <s v="Ahmedabad"/>
    <s v="Fashion"/>
    <x v="13"/>
    <n v="1"/>
    <n v="7650"/>
    <s v="UPI"/>
    <s v="Cancelled"/>
    <n v="7650"/>
  </r>
  <r>
    <s v="ORD10995"/>
    <s v="CUST0424"/>
    <d v="2025-09-02T00:00:00"/>
    <s v="South"/>
    <s v="Vijayawada"/>
    <s v="Beauty"/>
    <x v="23"/>
    <n v="1"/>
    <n v="2650"/>
    <s v="UPI"/>
    <s v="Shipped"/>
    <n v="2650"/>
  </r>
  <r>
    <s v="ORD10996"/>
    <s v="CUST0307"/>
    <d v="2025-12-01T00:00:00"/>
    <s v="South"/>
    <s v="Bengaluru"/>
    <s v="Sports"/>
    <x v="10"/>
    <n v="2"/>
    <n v="9950"/>
    <s v="UPI"/>
    <s v="Delivered"/>
    <n v="19900"/>
  </r>
  <r>
    <s v="ORD10997"/>
    <s v="CUST0125"/>
    <d v="2025-12-03T00:00:00"/>
    <s v="West"/>
    <s v="Ahmedabad"/>
    <s v="Fashion"/>
    <x v="11"/>
    <n v="1"/>
    <n v="5950"/>
    <s v="Credit Card"/>
    <s v="Cancelled"/>
    <n v="5950"/>
  </r>
  <r>
    <s v="ORD10998"/>
    <s v="CUST0338"/>
    <d v="2025-04-09T00:00:00"/>
    <s v="North"/>
    <s v="Lucknow"/>
    <s v="Electronics"/>
    <x v="22"/>
    <n v="1"/>
    <n v="44950"/>
    <s v="UPI"/>
    <s v="Returned"/>
    <n v="44950"/>
  </r>
  <r>
    <s v="ORD10999"/>
    <s v="CUST0008"/>
    <d v="2025-01-04T00:00:00"/>
    <s v="South"/>
    <s v="Vijayawada"/>
    <s v="Home &amp; Kitchen"/>
    <x v="0"/>
    <n v="1"/>
    <n v="3950"/>
    <s v="Credit Card"/>
    <s v="Delivered"/>
    <n v="3950"/>
  </r>
  <r>
    <s v="ORD11000"/>
    <s v="CUST0042"/>
    <d v="2025-04-02T00:00:00"/>
    <s v="West"/>
    <s v="Ahmedabad"/>
    <s v="Home &amp; Kitchen"/>
    <x v="0"/>
    <n v="1"/>
    <n v="1100"/>
    <s v="Credit Card"/>
    <s v="Delivered"/>
    <n v="1100"/>
  </r>
  <r>
    <s v="ORD11001"/>
    <s v="CUST0235"/>
    <d v="2025-08-20T00:00:00"/>
    <s v="East"/>
    <s v="Bhubaneswar"/>
    <s v="Electronics"/>
    <x v="17"/>
    <n v="2"/>
    <n v="57150"/>
    <s v="Debit Card"/>
    <s v="Shipped"/>
    <n v="114300"/>
  </r>
  <r>
    <s v="ORD11002"/>
    <s v="CUST0382"/>
    <d v="2025-02-18T00:00:00"/>
    <s v="West"/>
    <s v="Ahmedabad"/>
    <s v="Home &amp; Kitchen"/>
    <x v="15"/>
    <n v="1"/>
    <n v="3650"/>
    <s v="Cash on Delivery"/>
    <s v="Delivered"/>
    <n v="3650"/>
  </r>
  <r>
    <s v="ORD11003"/>
    <s v="CUST0052"/>
    <d v="2025-11-15T00:00:00"/>
    <s v="West"/>
    <s v="Ahmedabad"/>
    <s v="Home &amp; Kitchen"/>
    <x v="5"/>
    <n v="1"/>
    <n v="3350"/>
    <s v="UPI"/>
    <s v="Delivered"/>
    <n v="3350"/>
  </r>
  <r>
    <s v="ORD11004"/>
    <s v="CUST0255"/>
    <d v="2025-08-08T00:00:00"/>
    <s v="East"/>
    <s v="Patna"/>
    <s v="Sports"/>
    <x v="19"/>
    <n v="1"/>
    <n v="3300"/>
    <s v="Credit Card"/>
    <s v="Delivered"/>
    <n v="3300"/>
  </r>
  <r>
    <s v="ORD11005"/>
    <s v="CUST0393"/>
    <d v="2025-07-31T00:00:00"/>
    <s v="South"/>
    <s v="Bengaluru"/>
    <s v="Home &amp; Kitchen"/>
    <x v="15"/>
    <n v="1"/>
    <n v="7800"/>
    <s v="Debit Card"/>
    <s v="Delivered"/>
    <n v="7800"/>
  </r>
  <r>
    <s v="ORD11006"/>
    <s v="CUST0290"/>
    <d v="2025-04-15T00:00:00"/>
    <s v="West"/>
    <s v="Mumbai"/>
    <s v="Electronics"/>
    <x v="22"/>
    <n v="1"/>
    <n v="7500"/>
    <s v="Cash on Delivery"/>
    <s v="Delivered"/>
    <n v="7500"/>
  </r>
  <r>
    <s v="ORD11007"/>
    <s v="CUST0331"/>
    <d v="2025-06-14T00:00:00"/>
    <s v="East"/>
    <s v="Patna"/>
    <s v="Beauty"/>
    <x v="8"/>
    <n v="2"/>
    <n v="3750"/>
    <s v="Debit Card"/>
    <s v="Delivered"/>
    <n v="7500"/>
  </r>
  <r>
    <s v="ORD11008"/>
    <s v="CUST0328"/>
    <d v="2025-08-05T00:00:00"/>
    <s v="North"/>
    <s v="Lucknow"/>
    <s v="Electronics"/>
    <x v="7"/>
    <n v="2"/>
    <n v="800"/>
    <s v="Debit Card"/>
    <s v="Shipped"/>
    <n v="1600"/>
  </r>
  <r>
    <s v="ORD11009"/>
    <s v="CUST0258"/>
    <d v="2025-11-10T00:00:00"/>
    <s v="South"/>
    <s v="Hyderabad"/>
    <s v="Home &amp; Kitchen"/>
    <x v="9"/>
    <n v="1"/>
    <n v="1600"/>
    <s v="UPI"/>
    <s v="Delivered"/>
    <n v="1600"/>
  </r>
  <r>
    <s v="ORD11010"/>
    <s v="CUST0441"/>
    <d v="2025-09-16T00:00:00"/>
    <s v="West"/>
    <s v="Mumbai"/>
    <s v="Sports"/>
    <x v="4"/>
    <n v="1"/>
    <n v="650"/>
    <s v="Net Banking"/>
    <s v="Delivered"/>
    <n v="650"/>
  </r>
  <r>
    <s v="ORD11011"/>
    <s v="CUST0111"/>
    <d v="2025-08-22T00:00:00"/>
    <s v="East"/>
    <s v="Guwahati"/>
    <s v="Sports"/>
    <x v="4"/>
    <n v="3"/>
    <n v="3150"/>
    <s v="UPI"/>
    <s v="Delivered"/>
    <n v="9450"/>
  </r>
  <r>
    <s v="ORD11012"/>
    <s v="CUST0143"/>
    <d v="2025-04-21T00:00:00"/>
    <s v="North"/>
    <s v="Delhi"/>
    <s v="Electronics"/>
    <x v="7"/>
    <n v="3"/>
    <n v="19300"/>
    <s v="Cash on Delivery"/>
    <s v="Delivered"/>
    <n v="57900"/>
  </r>
  <r>
    <s v="ORD11013"/>
    <s v="CUST0199"/>
    <d v="2025-01-01T00:00:00"/>
    <s v="North"/>
    <s v="Chandigarh"/>
    <s v="Home &amp; Kitchen"/>
    <x v="0"/>
    <n v="2"/>
    <n v="2550"/>
    <s v="Credit Card"/>
    <s v="Delivered"/>
    <n v="5100"/>
  </r>
  <r>
    <s v="ORD11014"/>
    <s v="CUST0253"/>
    <d v="2025-05-12T00:00:00"/>
    <s v="West"/>
    <s v="Surat"/>
    <s v="Beauty"/>
    <x v="23"/>
    <n v="1"/>
    <n v="2200"/>
    <s v="Credit Card"/>
    <s v="Delivered"/>
    <n v="2200"/>
  </r>
  <r>
    <s v="ORD11015"/>
    <s v="CUST0243"/>
    <d v="2025-09-21T00:00:00"/>
    <s v="South"/>
    <s v="Hyderabad"/>
    <s v="Fashion"/>
    <x v="11"/>
    <n v="5"/>
    <n v="4100"/>
    <s v="UPI"/>
    <s v="Cancelled"/>
    <n v="20500"/>
  </r>
  <r>
    <s v="ORD11016"/>
    <s v="CUST0175"/>
    <d v="2025-01-04T00:00:00"/>
    <s v="West"/>
    <s v="Ahmedabad"/>
    <s v="Sports"/>
    <x v="10"/>
    <n v="1"/>
    <n v="6700"/>
    <s v="UPI"/>
    <s v="Delivered"/>
    <n v="6700"/>
  </r>
  <r>
    <s v="ORD11017"/>
    <s v="CUST0087"/>
    <d v="2025-01-20T00:00:00"/>
    <s v="South"/>
    <s v="Vijayawada"/>
    <s v="Fashion"/>
    <x v="12"/>
    <n v="2"/>
    <n v="4200"/>
    <s v="UPI"/>
    <s v="Delivered"/>
    <n v="8400"/>
  </r>
  <r>
    <s v="ORD11018"/>
    <s v="CUST0375"/>
    <d v="2025-04-11T00:00:00"/>
    <s v="South"/>
    <s v="Chennai"/>
    <s v="Sports"/>
    <x v="10"/>
    <n v="2"/>
    <n v="4250"/>
    <s v="Credit Card"/>
    <s v="Delivered"/>
    <n v="8500"/>
  </r>
  <r>
    <s v="ORD11019"/>
    <s v="CUST0090"/>
    <d v="2025-03-08T00:00:00"/>
    <s v="North"/>
    <s v="Chandigarh"/>
    <s v="Fashion"/>
    <x v="13"/>
    <n v="1"/>
    <n v="6400"/>
    <s v="UPI"/>
    <s v="Delivered"/>
    <n v="6400"/>
  </r>
  <r>
    <s v="ORD11020"/>
    <s v="CUST0214"/>
    <d v="2025-04-18T00:00:00"/>
    <s v="North"/>
    <s v="Delhi"/>
    <s v="Electronics"/>
    <x v="17"/>
    <n v="3"/>
    <n v="60350"/>
    <s v="UPI"/>
    <s v="Delivered"/>
    <n v="1810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BDD822-5CF1-4A25-B025-6AA89CE40840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7" firstHeaderRow="1" firstDataRow="1" firstDataCol="1"/>
  <pivotFields count="14">
    <pivotField showAll="0"/>
    <pivotField showAll="0"/>
    <pivotField numFmtId="164" showAll="0">
      <items count="352">
        <item x="49"/>
        <item x="193"/>
        <item x="69"/>
        <item x="98"/>
        <item x="78"/>
        <item x="57"/>
        <item x="120"/>
        <item x="137"/>
        <item x="95"/>
        <item x="52"/>
        <item x="77"/>
        <item x="152"/>
        <item x="7"/>
        <item x="269"/>
        <item x="104"/>
        <item x="291"/>
        <item x="294"/>
        <item x="51"/>
        <item x="177"/>
        <item x="348"/>
        <item x="326"/>
        <item x="313"/>
        <item x="153"/>
        <item x="322"/>
        <item x="293"/>
        <item x="53"/>
        <item x="165"/>
        <item x="62"/>
        <item x="73"/>
        <item x="249"/>
        <item x="325"/>
        <item x="63"/>
        <item x="4"/>
        <item x="263"/>
        <item x="255"/>
        <item x="298"/>
        <item x="48"/>
        <item x="254"/>
        <item x="132"/>
        <item x="159"/>
        <item x="161"/>
        <item x="50"/>
        <item x="115"/>
        <item x="100"/>
        <item x="172"/>
        <item x="9"/>
        <item x="90"/>
        <item x="312"/>
        <item x="24"/>
        <item x="11"/>
        <item x="96"/>
        <item x="93"/>
        <item x="86"/>
        <item x="68"/>
        <item x="284"/>
        <item x="232"/>
        <item x="181"/>
        <item x="118"/>
        <item x="241"/>
        <item x="156"/>
        <item x="56"/>
        <item x="239"/>
        <item x="226"/>
        <item x="183"/>
        <item x="70"/>
        <item x="203"/>
        <item x="277"/>
        <item x="343"/>
        <item x="185"/>
        <item x="146"/>
        <item x="220"/>
        <item x="302"/>
        <item x="253"/>
        <item x="125"/>
        <item x="227"/>
        <item x="123"/>
        <item x="331"/>
        <item x="240"/>
        <item x="199"/>
        <item x="257"/>
        <item x="43"/>
        <item x="234"/>
        <item x="35"/>
        <item x="92"/>
        <item x="276"/>
        <item x="3"/>
        <item x="40"/>
        <item x="206"/>
        <item x="314"/>
        <item x="196"/>
        <item x="74"/>
        <item x="64"/>
        <item x="15"/>
        <item x="160"/>
        <item x="139"/>
        <item x="154"/>
        <item x="0"/>
        <item x="71"/>
        <item x="147"/>
        <item x="278"/>
        <item x="22"/>
        <item x="112"/>
        <item x="247"/>
        <item x="231"/>
        <item x="31"/>
        <item x="204"/>
        <item x="190"/>
        <item x="167"/>
        <item x="180"/>
        <item x="16"/>
        <item x="186"/>
        <item x="334"/>
        <item x="340"/>
        <item x="158"/>
        <item x="75"/>
        <item x="138"/>
        <item x="94"/>
        <item x="191"/>
        <item x="65"/>
        <item x="224"/>
        <item x="32"/>
        <item x="299"/>
        <item x="246"/>
        <item x="250"/>
        <item x="20"/>
        <item x="174"/>
        <item x="17"/>
        <item x="103"/>
        <item x="141"/>
        <item x="215"/>
        <item x="216"/>
        <item x="256"/>
        <item x="305"/>
        <item x="235"/>
        <item x="76"/>
        <item x="304"/>
        <item x="225"/>
        <item x="29"/>
        <item x="21"/>
        <item x="58"/>
        <item x="323"/>
        <item x="236"/>
        <item x="286"/>
        <item x="164"/>
        <item x="30"/>
        <item x="45"/>
        <item x="42"/>
        <item x="198"/>
        <item x="102"/>
        <item x="221"/>
        <item x="89"/>
        <item x="337"/>
        <item x="328"/>
        <item x="170"/>
        <item x="38"/>
        <item x="26"/>
        <item x="214"/>
        <item x="8"/>
        <item x="144"/>
        <item x="259"/>
        <item x="91"/>
        <item x="271"/>
        <item x="39"/>
        <item x="179"/>
        <item x="307"/>
        <item x="262"/>
        <item x="281"/>
        <item x="330"/>
        <item x="163"/>
        <item x="2"/>
        <item x="342"/>
        <item x="301"/>
        <item x="184"/>
        <item x="272"/>
        <item x="252"/>
        <item x="157"/>
        <item x="176"/>
        <item x="162"/>
        <item x="81"/>
        <item x="309"/>
        <item x="12"/>
        <item x="268"/>
        <item x="166"/>
        <item x="150"/>
        <item x="280"/>
        <item x="61"/>
        <item x="119"/>
        <item x="349"/>
        <item x="23"/>
        <item x="178"/>
        <item x="242"/>
        <item x="105"/>
        <item x="106"/>
        <item x="209"/>
        <item x="317"/>
        <item x="285"/>
        <item x="208"/>
        <item x="212"/>
        <item x="44"/>
        <item x="233"/>
        <item x="143"/>
        <item x="345"/>
        <item x="267"/>
        <item x="128"/>
        <item x="243"/>
        <item x="175"/>
        <item x="182"/>
        <item x="347"/>
        <item x="279"/>
        <item x="41"/>
        <item x="5"/>
        <item x="99"/>
        <item x="275"/>
        <item x="169"/>
        <item x="60"/>
        <item x="333"/>
        <item x="97"/>
        <item x="297"/>
        <item x="217"/>
        <item x="282"/>
        <item x="140"/>
        <item x="341"/>
        <item x="315"/>
        <item x="244"/>
        <item x="237"/>
        <item x="14"/>
        <item x="292"/>
        <item x="200"/>
        <item x="270"/>
        <item x="34"/>
        <item x="289"/>
        <item x="151"/>
        <item x="54"/>
        <item x="283"/>
        <item x="55"/>
        <item x="111"/>
        <item x="87"/>
        <item x="108"/>
        <item x="187"/>
        <item x="28"/>
        <item x="230"/>
        <item x="205"/>
        <item x="37"/>
        <item x="88"/>
        <item x="324"/>
        <item x="287"/>
        <item x="295"/>
        <item x="350"/>
        <item x="10"/>
        <item x="116"/>
        <item x="19"/>
        <item x="113"/>
        <item x="130"/>
        <item x="316"/>
        <item x="135"/>
        <item x="300"/>
        <item x="258"/>
        <item x="194"/>
        <item x="321"/>
        <item x="188"/>
        <item x="327"/>
        <item x="248"/>
        <item x="288"/>
        <item x="155"/>
        <item x="335"/>
        <item x="346"/>
        <item x="251"/>
        <item x="72"/>
        <item x="222"/>
        <item x="33"/>
        <item x="18"/>
        <item x="122"/>
        <item x="82"/>
        <item x="47"/>
        <item x="201"/>
        <item x="121"/>
        <item x="13"/>
        <item x="134"/>
        <item x="79"/>
        <item x="80"/>
        <item x="211"/>
        <item x="336"/>
        <item x="149"/>
        <item x="136"/>
        <item x="202"/>
        <item x="344"/>
        <item x="6"/>
        <item x="85"/>
        <item x="142"/>
        <item x="266"/>
        <item x="311"/>
        <item x="110"/>
        <item x="148"/>
        <item x="25"/>
        <item x="109"/>
        <item x="273"/>
        <item x="290"/>
        <item x="192"/>
        <item x="329"/>
        <item x="197"/>
        <item x="318"/>
        <item x="101"/>
        <item x="238"/>
        <item x="1"/>
        <item x="107"/>
        <item x="114"/>
        <item x="332"/>
        <item x="274"/>
        <item x="145"/>
        <item x="261"/>
        <item x="229"/>
        <item x="84"/>
        <item x="213"/>
        <item x="320"/>
        <item x="319"/>
        <item x="127"/>
        <item x="260"/>
        <item x="310"/>
        <item x="46"/>
        <item x="129"/>
        <item x="218"/>
        <item x="296"/>
        <item x="339"/>
        <item x="303"/>
        <item x="207"/>
        <item x="189"/>
        <item x="228"/>
        <item x="265"/>
        <item x="36"/>
        <item x="27"/>
        <item x="338"/>
        <item x="124"/>
        <item x="133"/>
        <item x="66"/>
        <item x="59"/>
        <item x="173"/>
        <item x="67"/>
        <item x="219"/>
        <item x="306"/>
        <item x="117"/>
        <item x="131"/>
        <item x="171"/>
        <item x="223"/>
        <item x="210"/>
        <item x="308"/>
        <item x="126"/>
        <item x="195"/>
        <item x="168"/>
        <item x="83"/>
        <item x="245"/>
        <item x="264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1"/>
        <item x="4"/>
        <item x="0"/>
        <item h="1" x="5"/>
        <item t="default"/>
      </items>
    </pivotField>
    <pivotField showAll="0"/>
    <pivotField dataField="1" numFmtId="165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11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858F1-414E-4EE4-884B-1789891D0403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7" firstHeaderRow="1" firstDataRow="1" firstDataCol="1"/>
  <pivotFields count="12">
    <pivotField showAll="0"/>
    <pivotField showAll="0"/>
    <pivotField numFmtId="164" showAll="0"/>
    <pivotField showAll="0"/>
    <pivotField showAll="0"/>
    <pivotField showAll="0"/>
    <pivotField axis="axisRow" showAll="0" measureFilter="1">
      <items count="26">
        <item x="5"/>
        <item x="2"/>
        <item x="15"/>
        <item x="3"/>
        <item x="6"/>
        <item x="14"/>
        <item x="10"/>
        <item x="20"/>
        <item x="16"/>
        <item x="11"/>
        <item x="17"/>
        <item x="7"/>
        <item x="18"/>
        <item x="8"/>
        <item x="1"/>
        <item x="23"/>
        <item x="4"/>
        <item x="24"/>
        <item x="22"/>
        <item x="12"/>
        <item x="0"/>
        <item x="13"/>
        <item x="21"/>
        <item x="9"/>
        <item x="19"/>
        <item t="default"/>
      </items>
    </pivotField>
    <pivotField showAll="0"/>
    <pivotField showAll="0"/>
    <pivotField showAll="0"/>
    <pivotField showAll="0"/>
    <pivotField dataField="1" numFmtId="165" showAll="0"/>
  </pivotFields>
  <rowFields count="1">
    <field x="6"/>
  </rowFields>
  <rowItems count="6">
    <i>
      <x v="8"/>
    </i>
    <i>
      <x v="10"/>
    </i>
    <i>
      <x v="11"/>
    </i>
    <i>
      <x v="14"/>
    </i>
    <i>
      <x v="18"/>
    </i>
    <i t="grand">
      <x/>
    </i>
  </rowItems>
  <colItems count="1">
    <i/>
  </colItems>
  <dataFields count="1">
    <dataField name="Sum of Total Sales" fld="11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31D429-937B-461E-9D3C-B7BC16B7EBC5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14" firstHeaderRow="1" firstDataRow="1" firstDataCol="1"/>
  <pivotFields count="14">
    <pivotField showAll="0"/>
    <pivotField showAll="0"/>
    <pivotField axis="axisRow" numFmtId="164" showAll="0">
      <items count="352">
        <item x="49"/>
        <item x="193"/>
        <item x="69"/>
        <item x="98"/>
        <item x="78"/>
        <item x="57"/>
        <item x="120"/>
        <item x="137"/>
        <item x="95"/>
        <item x="52"/>
        <item x="77"/>
        <item x="152"/>
        <item x="7"/>
        <item x="269"/>
        <item x="104"/>
        <item x="291"/>
        <item x="294"/>
        <item x="51"/>
        <item x="177"/>
        <item x="348"/>
        <item x="326"/>
        <item x="313"/>
        <item x="153"/>
        <item x="322"/>
        <item x="293"/>
        <item x="53"/>
        <item x="165"/>
        <item x="62"/>
        <item x="73"/>
        <item x="249"/>
        <item x="325"/>
        <item x="63"/>
        <item x="4"/>
        <item x="263"/>
        <item x="255"/>
        <item x="298"/>
        <item x="48"/>
        <item x="254"/>
        <item x="132"/>
        <item x="159"/>
        <item x="161"/>
        <item x="50"/>
        <item x="115"/>
        <item x="100"/>
        <item x="172"/>
        <item x="9"/>
        <item x="90"/>
        <item x="312"/>
        <item x="24"/>
        <item x="11"/>
        <item x="96"/>
        <item x="93"/>
        <item x="86"/>
        <item x="68"/>
        <item x="284"/>
        <item x="232"/>
        <item x="181"/>
        <item x="118"/>
        <item x="241"/>
        <item x="156"/>
        <item x="56"/>
        <item x="239"/>
        <item x="226"/>
        <item x="183"/>
        <item x="70"/>
        <item x="203"/>
        <item x="277"/>
        <item x="343"/>
        <item x="185"/>
        <item x="146"/>
        <item x="220"/>
        <item x="302"/>
        <item x="253"/>
        <item x="125"/>
        <item x="227"/>
        <item x="123"/>
        <item x="331"/>
        <item x="240"/>
        <item x="199"/>
        <item x="257"/>
        <item x="43"/>
        <item x="234"/>
        <item x="35"/>
        <item x="92"/>
        <item x="276"/>
        <item x="3"/>
        <item x="40"/>
        <item x="206"/>
        <item x="314"/>
        <item x="196"/>
        <item x="74"/>
        <item x="64"/>
        <item x="15"/>
        <item x="160"/>
        <item x="139"/>
        <item x="154"/>
        <item x="0"/>
        <item x="71"/>
        <item x="147"/>
        <item x="278"/>
        <item x="22"/>
        <item x="112"/>
        <item x="247"/>
        <item x="231"/>
        <item x="31"/>
        <item x="204"/>
        <item x="190"/>
        <item x="167"/>
        <item x="180"/>
        <item x="16"/>
        <item x="186"/>
        <item x="334"/>
        <item x="340"/>
        <item x="158"/>
        <item x="75"/>
        <item x="138"/>
        <item x="94"/>
        <item x="191"/>
        <item x="65"/>
        <item x="224"/>
        <item x="32"/>
        <item x="299"/>
        <item x="246"/>
        <item x="250"/>
        <item x="20"/>
        <item x="174"/>
        <item x="17"/>
        <item x="103"/>
        <item x="141"/>
        <item x="215"/>
        <item x="216"/>
        <item x="256"/>
        <item x="305"/>
        <item x="235"/>
        <item x="76"/>
        <item x="304"/>
        <item x="225"/>
        <item x="29"/>
        <item x="21"/>
        <item x="58"/>
        <item x="323"/>
        <item x="236"/>
        <item x="286"/>
        <item x="164"/>
        <item x="30"/>
        <item x="45"/>
        <item x="42"/>
        <item x="198"/>
        <item x="102"/>
        <item x="221"/>
        <item x="89"/>
        <item x="337"/>
        <item x="328"/>
        <item x="170"/>
        <item x="38"/>
        <item x="26"/>
        <item x="214"/>
        <item x="8"/>
        <item x="144"/>
        <item x="259"/>
        <item x="91"/>
        <item x="271"/>
        <item x="39"/>
        <item x="179"/>
        <item x="307"/>
        <item x="262"/>
        <item x="281"/>
        <item x="330"/>
        <item x="163"/>
        <item x="2"/>
        <item x="342"/>
        <item x="301"/>
        <item x="184"/>
        <item x="272"/>
        <item x="252"/>
        <item x="157"/>
        <item x="176"/>
        <item x="162"/>
        <item x="81"/>
        <item x="309"/>
        <item x="12"/>
        <item x="268"/>
        <item x="166"/>
        <item x="150"/>
        <item x="280"/>
        <item x="61"/>
        <item x="119"/>
        <item x="349"/>
        <item x="23"/>
        <item x="178"/>
        <item x="242"/>
        <item x="105"/>
        <item x="106"/>
        <item x="209"/>
        <item x="317"/>
        <item x="285"/>
        <item x="208"/>
        <item x="212"/>
        <item x="44"/>
        <item x="233"/>
        <item x="143"/>
        <item x="345"/>
        <item x="267"/>
        <item x="128"/>
        <item x="243"/>
        <item x="175"/>
        <item x="182"/>
        <item x="347"/>
        <item x="279"/>
        <item x="41"/>
        <item x="5"/>
        <item x="99"/>
        <item x="275"/>
        <item x="169"/>
        <item x="60"/>
        <item x="333"/>
        <item x="97"/>
        <item x="297"/>
        <item x="217"/>
        <item x="282"/>
        <item x="140"/>
        <item x="341"/>
        <item x="315"/>
        <item x="244"/>
        <item x="237"/>
        <item x="14"/>
        <item x="292"/>
        <item x="200"/>
        <item x="270"/>
        <item x="34"/>
        <item x="289"/>
        <item x="151"/>
        <item x="54"/>
        <item x="283"/>
        <item x="55"/>
        <item x="111"/>
        <item x="87"/>
        <item x="108"/>
        <item x="187"/>
        <item x="28"/>
        <item x="230"/>
        <item x="205"/>
        <item x="37"/>
        <item x="88"/>
        <item x="324"/>
        <item x="287"/>
        <item x="295"/>
        <item x="350"/>
        <item x="10"/>
        <item x="116"/>
        <item x="19"/>
        <item x="113"/>
        <item x="130"/>
        <item x="316"/>
        <item x="135"/>
        <item x="300"/>
        <item x="258"/>
        <item x="194"/>
        <item x="321"/>
        <item x="188"/>
        <item x="327"/>
        <item x="248"/>
        <item x="288"/>
        <item x="155"/>
        <item x="335"/>
        <item x="346"/>
        <item x="251"/>
        <item x="72"/>
        <item x="222"/>
        <item x="33"/>
        <item x="18"/>
        <item x="122"/>
        <item x="82"/>
        <item x="47"/>
        <item x="201"/>
        <item x="121"/>
        <item x="13"/>
        <item x="134"/>
        <item x="79"/>
        <item x="80"/>
        <item x="211"/>
        <item x="336"/>
        <item x="149"/>
        <item x="136"/>
        <item x="202"/>
        <item x="344"/>
        <item x="6"/>
        <item x="85"/>
        <item x="142"/>
        <item x="266"/>
        <item x="311"/>
        <item x="110"/>
        <item x="148"/>
        <item x="25"/>
        <item x="109"/>
        <item x="273"/>
        <item x="290"/>
        <item x="192"/>
        <item x="329"/>
        <item x="197"/>
        <item x="318"/>
        <item x="101"/>
        <item x="238"/>
        <item x="1"/>
        <item x="107"/>
        <item x="114"/>
        <item x="332"/>
        <item x="274"/>
        <item x="145"/>
        <item x="261"/>
        <item x="229"/>
        <item x="84"/>
        <item x="213"/>
        <item x="320"/>
        <item x="319"/>
        <item x="127"/>
        <item x="260"/>
        <item x="310"/>
        <item x="46"/>
        <item x="129"/>
        <item x="218"/>
        <item x="296"/>
        <item x="339"/>
        <item x="303"/>
        <item x="207"/>
        <item x="189"/>
        <item x="228"/>
        <item x="265"/>
        <item x="36"/>
        <item x="27"/>
        <item x="338"/>
        <item x="124"/>
        <item x="133"/>
        <item x="66"/>
        <item x="59"/>
        <item x="173"/>
        <item x="67"/>
        <item x="219"/>
        <item x="306"/>
        <item x="117"/>
        <item x="131"/>
        <item x="171"/>
        <item x="223"/>
        <item x="210"/>
        <item x="308"/>
        <item x="126"/>
        <item x="195"/>
        <item x="168"/>
        <item x="83"/>
        <item x="245"/>
        <item x="2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3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Sales" fld="11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A108A4-8B03-47A5-82E6-48F143D128AB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7" firstHeaderRow="1" firstDataRow="1" firstDataCol="1"/>
  <pivotFields count="14">
    <pivotField showAll="0"/>
    <pivotField showAll="0"/>
    <pivotField numFmtId="164" showAll="0">
      <items count="352">
        <item x="49"/>
        <item x="193"/>
        <item x="69"/>
        <item x="98"/>
        <item x="78"/>
        <item x="57"/>
        <item x="120"/>
        <item x="137"/>
        <item x="95"/>
        <item x="52"/>
        <item x="77"/>
        <item x="152"/>
        <item x="7"/>
        <item x="269"/>
        <item x="104"/>
        <item x="291"/>
        <item x="294"/>
        <item x="51"/>
        <item x="177"/>
        <item x="348"/>
        <item x="326"/>
        <item x="313"/>
        <item x="153"/>
        <item x="322"/>
        <item x="293"/>
        <item x="53"/>
        <item x="165"/>
        <item x="62"/>
        <item x="73"/>
        <item x="249"/>
        <item x="325"/>
        <item x="63"/>
        <item x="4"/>
        <item x="263"/>
        <item x="255"/>
        <item x="298"/>
        <item x="48"/>
        <item x="254"/>
        <item x="132"/>
        <item x="159"/>
        <item x="161"/>
        <item x="50"/>
        <item x="115"/>
        <item x="100"/>
        <item x="172"/>
        <item x="9"/>
        <item x="90"/>
        <item x="312"/>
        <item x="24"/>
        <item x="11"/>
        <item x="96"/>
        <item x="93"/>
        <item x="86"/>
        <item x="68"/>
        <item x="284"/>
        <item x="232"/>
        <item x="181"/>
        <item x="118"/>
        <item x="241"/>
        <item x="156"/>
        <item x="56"/>
        <item x="239"/>
        <item x="226"/>
        <item x="183"/>
        <item x="70"/>
        <item x="203"/>
        <item x="277"/>
        <item x="343"/>
        <item x="185"/>
        <item x="146"/>
        <item x="220"/>
        <item x="302"/>
        <item x="253"/>
        <item x="125"/>
        <item x="227"/>
        <item x="123"/>
        <item x="331"/>
        <item x="240"/>
        <item x="199"/>
        <item x="257"/>
        <item x="43"/>
        <item x="234"/>
        <item x="35"/>
        <item x="92"/>
        <item x="276"/>
        <item x="3"/>
        <item x="40"/>
        <item x="206"/>
        <item x="314"/>
        <item x="196"/>
        <item x="74"/>
        <item x="64"/>
        <item x="15"/>
        <item x="160"/>
        <item x="139"/>
        <item x="154"/>
        <item x="0"/>
        <item x="71"/>
        <item x="147"/>
        <item x="278"/>
        <item x="22"/>
        <item x="112"/>
        <item x="247"/>
        <item x="231"/>
        <item x="31"/>
        <item x="204"/>
        <item x="190"/>
        <item x="167"/>
        <item x="180"/>
        <item x="16"/>
        <item x="186"/>
        <item x="334"/>
        <item x="340"/>
        <item x="158"/>
        <item x="75"/>
        <item x="138"/>
        <item x="94"/>
        <item x="191"/>
        <item x="65"/>
        <item x="224"/>
        <item x="32"/>
        <item x="299"/>
        <item x="246"/>
        <item x="250"/>
        <item x="20"/>
        <item x="174"/>
        <item x="17"/>
        <item x="103"/>
        <item x="141"/>
        <item x="215"/>
        <item x="216"/>
        <item x="256"/>
        <item x="305"/>
        <item x="235"/>
        <item x="76"/>
        <item x="304"/>
        <item x="225"/>
        <item x="29"/>
        <item x="21"/>
        <item x="58"/>
        <item x="323"/>
        <item x="236"/>
        <item x="286"/>
        <item x="164"/>
        <item x="30"/>
        <item x="45"/>
        <item x="42"/>
        <item x="198"/>
        <item x="102"/>
        <item x="221"/>
        <item x="89"/>
        <item x="337"/>
        <item x="328"/>
        <item x="170"/>
        <item x="38"/>
        <item x="26"/>
        <item x="214"/>
        <item x="8"/>
        <item x="144"/>
        <item x="259"/>
        <item x="91"/>
        <item x="271"/>
        <item x="39"/>
        <item x="179"/>
        <item x="307"/>
        <item x="262"/>
        <item x="281"/>
        <item x="330"/>
        <item x="163"/>
        <item x="2"/>
        <item x="342"/>
        <item x="301"/>
        <item x="184"/>
        <item x="272"/>
        <item x="252"/>
        <item x="157"/>
        <item x="176"/>
        <item x="162"/>
        <item x="81"/>
        <item x="309"/>
        <item x="12"/>
        <item x="268"/>
        <item x="166"/>
        <item x="150"/>
        <item x="280"/>
        <item x="61"/>
        <item x="119"/>
        <item x="349"/>
        <item x="23"/>
        <item x="178"/>
        <item x="242"/>
        <item x="105"/>
        <item x="106"/>
        <item x="209"/>
        <item x="317"/>
        <item x="285"/>
        <item x="208"/>
        <item x="212"/>
        <item x="44"/>
        <item x="233"/>
        <item x="143"/>
        <item x="345"/>
        <item x="267"/>
        <item x="128"/>
        <item x="243"/>
        <item x="175"/>
        <item x="182"/>
        <item x="347"/>
        <item x="279"/>
        <item x="41"/>
        <item x="5"/>
        <item x="99"/>
        <item x="275"/>
        <item x="169"/>
        <item x="60"/>
        <item x="333"/>
        <item x="97"/>
        <item x="297"/>
        <item x="217"/>
        <item x="282"/>
        <item x="140"/>
        <item x="341"/>
        <item x="315"/>
        <item x="244"/>
        <item x="237"/>
        <item x="14"/>
        <item x="292"/>
        <item x="200"/>
        <item x="270"/>
        <item x="34"/>
        <item x="289"/>
        <item x="151"/>
        <item x="54"/>
        <item x="283"/>
        <item x="55"/>
        <item x="111"/>
        <item x="87"/>
        <item x="108"/>
        <item x="187"/>
        <item x="28"/>
        <item x="230"/>
        <item x="205"/>
        <item x="37"/>
        <item x="88"/>
        <item x="324"/>
        <item x="287"/>
        <item x="295"/>
        <item x="350"/>
        <item x="10"/>
        <item x="116"/>
        <item x="19"/>
        <item x="113"/>
        <item x="130"/>
        <item x="316"/>
        <item x="135"/>
        <item x="300"/>
        <item x="258"/>
        <item x="194"/>
        <item x="321"/>
        <item x="188"/>
        <item x="327"/>
        <item x="248"/>
        <item x="288"/>
        <item x="155"/>
        <item x="335"/>
        <item x="346"/>
        <item x="251"/>
        <item x="72"/>
        <item x="222"/>
        <item x="33"/>
        <item x="18"/>
        <item x="122"/>
        <item x="82"/>
        <item x="47"/>
        <item x="201"/>
        <item x="121"/>
        <item x="13"/>
        <item x="134"/>
        <item x="79"/>
        <item x="80"/>
        <item x="211"/>
        <item x="336"/>
        <item x="149"/>
        <item x="136"/>
        <item x="202"/>
        <item x="344"/>
        <item x="6"/>
        <item x="85"/>
        <item x="142"/>
        <item x="266"/>
        <item x="311"/>
        <item x="110"/>
        <item x="148"/>
        <item x="25"/>
        <item x="109"/>
        <item x="273"/>
        <item x="290"/>
        <item x="192"/>
        <item x="329"/>
        <item x="197"/>
        <item x="318"/>
        <item x="101"/>
        <item x="238"/>
        <item x="1"/>
        <item x="107"/>
        <item x="114"/>
        <item x="332"/>
        <item x="274"/>
        <item x="145"/>
        <item x="261"/>
        <item x="229"/>
        <item x="84"/>
        <item x="213"/>
        <item x="320"/>
        <item x="319"/>
        <item x="127"/>
        <item x="260"/>
        <item x="310"/>
        <item x="46"/>
        <item x="129"/>
        <item x="218"/>
        <item x="296"/>
        <item x="339"/>
        <item x="303"/>
        <item x="207"/>
        <item x="189"/>
        <item x="228"/>
        <item x="265"/>
        <item x="36"/>
        <item x="27"/>
        <item x="338"/>
        <item x="124"/>
        <item x="133"/>
        <item x="66"/>
        <item x="59"/>
        <item x="173"/>
        <item x="67"/>
        <item x="219"/>
        <item x="306"/>
        <item x="117"/>
        <item x="131"/>
        <item x="171"/>
        <item x="223"/>
        <item x="210"/>
        <item x="308"/>
        <item x="126"/>
        <item x="195"/>
        <item x="168"/>
        <item x="83"/>
        <item x="245"/>
        <item x="264"/>
        <item t="default"/>
      </items>
    </pivotField>
    <pivotField showAll="0"/>
    <pivotField showAll="0"/>
    <pivotField axis="axisRow" showAll="0">
      <items count="6">
        <item x="4"/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dataField="1" numFmtId="165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11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E6711C-47F9-4712-84B0-B6DD1080E564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14">
    <pivotField showAll="0"/>
    <pivotField showAll="0"/>
    <pivotField numFmtId="164" showAll="0">
      <items count="352">
        <item x="49"/>
        <item x="193"/>
        <item x="69"/>
        <item x="98"/>
        <item x="78"/>
        <item x="57"/>
        <item x="120"/>
        <item x="137"/>
        <item x="95"/>
        <item x="52"/>
        <item x="77"/>
        <item x="152"/>
        <item x="7"/>
        <item x="269"/>
        <item x="104"/>
        <item x="291"/>
        <item x="294"/>
        <item x="51"/>
        <item x="177"/>
        <item x="348"/>
        <item x="326"/>
        <item x="313"/>
        <item x="153"/>
        <item x="322"/>
        <item x="293"/>
        <item x="53"/>
        <item x="165"/>
        <item x="62"/>
        <item x="73"/>
        <item x="249"/>
        <item x="325"/>
        <item x="63"/>
        <item x="4"/>
        <item x="263"/>
        <item x="255"/>
        <item x="298"/>
        <item x="48"/>
        <item x="254"/>
        <item x="132"/>
        <item x="159"/>
        <item x="161"/>
        <item x="50"/>
        <item x="115"/>
        <item x="100"/>
        <item x="172"/>
        <item x="9"/>
        <item x="90"/>
        <item x="312"/>
        <item x="24"/>
        <item x="11"/>
        <item x="96"/>
        <item x="93"/>
        <item x="86"/>
        <item x="68"/>
        <item x="284"/>
        <item x="232"/>
        <item x="181"/>
        <item x="118"/>
        <item x="241"/>
        <item x="156"/>
        <item x="56"/>
        <item x="239"/>
        <item x="226"/>
        <item x="183"/>
        <item x="70"/>
        <item x="203"/>
        <item x="277"/>
        <item x="343"/>
        <item x="185"/>
        <item x="146"/>
        <item x="220"/>
        <item x="302"/>
        <item x="253"/>
        <item x="125"/>
        <item x="227"/>
        <item x="123"/>
        <item x="331"/>
        <item x="240"/>
        <item x="199"/>
        <item x="257"/>
        <item x="43"/>
        <item x="234"/>
        <item x="35"/>
        <item x="92"/>
        <item x="276"/>
        <item x="3"/>
        <item x="40"/>
        <item x="206"/>
        <item x="314"/>
        <item x="196"/>
        <item x="74"/>
        <item x="64"/>
        <item x="15"/>
        <item x="160"/>
        <item x="139"/>
        <item x="154"/>
        <item x="0"/>
        <item x="71"/>
        <item x="147"/>
        <item x="278"/>
        <item x="22"/>
        <item x="112"/>
        <item x="247"/>
        <item x="231"/>
        <item x="31"/>
        <item x="204"/>
        <item x="190"/>
        <item x="167"/>
        <item x="180"/>
        <item x="16"/>
        <item x="186"/>
        <item x="334"/>
        <item x="340"/>
        <item x="158"/>
        <item x="75"/>
        <item x="138"/>
        <item x="94"/>
        <item x="191"/>
        <item x="65"/>
        <item x="224"/>
        <item x="32"/>
        <item x="299"/>
        <item x="246"/>
        <item x="250"/>
        <item x="20"/>
        <item x="174"/>
        <item x="17"/>
        <item x="103"/>
        <item x="141"/>
        <item x="215"/>
        <item x="216"/>
        <item x="256"/>
        <item x="305"/>
        <item x="235"/>
        <item x="76"/>
        <item x="304"/>
        <item x="225"/>
        <item x="29"/>
        <item x="21"/>
        <item x="58"/>
        <item x="323"/>
        <item x="236"/>
        <item x="286"/>
        <item x="164"/>
        <item x="30"/>
        <item x="45"/>
        <item x="42"/>
        <item x="198"/>
        <item x="102"/>
        <item x="221"/>
        <item x="89"/>
        <item x="337"/>
        <item x="328"/>
        <item x="170"/>
        <item x="38"/>
        <item x="26"/>
        <item x="214"/>
        <item x="8"/>
        <item x="144"/>
        <item x="259"/>
        <item x="91"/>
        <item x="271"/>
        <item x="39"/>
        <item x="179"/>
        <item x="307"/>
        <item x="262"/>
        <item x="281"/>
        <item x="330"/>
        <item x="163"/>
        <item x="2"/>
        <item x="342"/>
        <item x="301"/>
        <item x="184"/>
        <item x="272"/>
        <item x="252"/>
        <item x="157"/>
        <item x="176"/>
        <item x="162"/>
        <item x="81"/>
        <item x="309"/>
        <item x="12"/>
        <item x="268"/>
        <item x="166"/>
        <item x="150"/>
        <item x="280"/>
        <item x="61"/>
        <item x="119"/>
        <item x="349"/>
        <item x="23"/>
        <item x="178"/>
        <item x="242"/>
        <item x="105"/>
        <item x="106"/>
        <item x="209"/>
        <item x="317"/>
        <item x="285"/>
        <item x="208"/>
        <item x="212"/>
        <item x="44"/>
        <item x="233"/>
        <item x="143"/>
        <item x="345"/>
        <item x="267"/>
        <item x="128"/>
        <item x="243"/>
        <item x="175"/>
        <item x="182"/>
        <item x="347"/>
        <item x="279"/>
        <item x="41"/>
        <item x="5"/>
        <item x="99"/>
        <item x="275"/>
        <item x="169"/>
        <item x="60"/>
        <item x="333"/>
        <item x="97"/>
        <item x="297"/>
        <item x="217"/>
        <item x="282"/>
        <item x="140"/>
        <item x="341"/>
        <item x="315"/>
        <item x="244"/>
        <item x="237"/>
        <item x="14"/>
        <item x="292"/>
        <item x="200"/>
        <item x="270"/>
        <item x="34"/>
        <item x="289"/>
        <item x="151"/>
        <item x="54"/>
        <item x="283"/>
        <item x="55"/>
        <item x="111"/>
        <item x="87"/>
        <item x="108"/>
        <item x="187"/>
        <item x="28"/>
        <item x="230"/>
        <item x="205"/>
        <item x="37"/>
        <item x="88"/>
        <item x="324"/>
        <item x="287"/>
        <item x="295"/>
        <item x="350"/>
        <item x="10"/>
        <item x="116"/>
        <item x="19"/>
        <item x="113"/>
        <item x="130"/>
        <item x="316"/>
        <item x="135"/>
        <item x="300"/>
        <item x="258"/>
        <item x="194"/>
        <item x="321"/>
        <item x="188"/>
        <item x="327"/>
        <item x="248"/>
        <item x="288"/>
        <item x="155"/>
        <item x="335"/>
        <item x="346"/>
        <item x="251"/>
        <item x="72"/>
        <item x="222"/>
        <item x="33"/>
        <item x="18"/>
        <item x="122"/>
        <item x="82"/>
        <item x="47"/>
        <item x="201"/>
        <item x="121"/>
        <item x="13"/>
        <item x="134"/>
        <item x="79"/>
        <item x="80"/>
        <item x="211"/>
        <item x="336"/>
        <item x="149"/>
        <item x="136"/>
        <item x="202"/>
        <item x="344"/>
        <item x="6"/>
        <item x="85"/>
        <item x="142"/>
        <item x="266"/>
        <item x="311"/>
        <item x="110"/>
        <item x="148"/>
        <item x="25"/>
        <item x="109"/>
        <item x="273"/>
        <item x="290"/>
        <item x="192"/>
        <item x="329"/>
        <item x="197"/>
        <item x="318"/>
        <item x="101"/>
        <item x="238"/>
        <item x="1"/>
        <item x="107"/>
        <item x="114"/>
        <item x="332"/>
        <item x="274"/>
        <item x="145"/>
        <item x="261"/>
        <item x="229"/>
        <item x="84"/>
        <item x="213"/>
        <item x="320"/>
        <item x="319"/>
        <item x="127"/>
        <item x="260"/>
        <item x="310"/>
        <item x="46"/>
        <item x="129"/>
        <item x="218"/>
        <item x="296"/>
        <item x="339"/>
        <item x="303"/>
        <item x="207"/>
        <item x="189"/>
        <item x="228"/>
        <item x="265"/>
        <item x="36"/>
        <item x="27"/>
        <item x="338"/>
        <item x="124"/>
        <item x="133"/>
        <item x="66"/>
        <item x="59"/>
        <item x="173"/>
        <item x="67"/>
        <item x="219"/>
        <item x="306"/>
        <item x="117"/>
        <item x="131"/>
        <item x="171"/>
        <item x="223"/>
        <item x="210"/>
        <item x="308"/>
        <item x="126"/>
        <item x="195"/>
        <item x="168"/>
        <item x="83"/>
        <item x="245"/>
        <item x="264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11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6B35-78DC-44ED-87B7-91EF927061F8}">
  <dimension ref="A1:B7"/>
  <sheetViews>
    <sheetView topLeftCell="D1" workbookViewId="0">
      <selection activeCell="G19" sqref="G19"/>
    </sheetView>
  </sheetViews>
  <sheetFormatPr defaultRowHeight="14.4" x14ac:dyDescent="0.3"/>
  <cols>
    <col min="1" max="1" width="14.5546875" bestFit="1" customWidth="1"/>
    <col min="2" max="2" width="16.44140625" bestFit="1" customWidth="1"/>
  </cols>
  <sheetData>
    <row r="1" spans="1:2" x14ac:dyDescent="0.3">
      <c r="A1" s="6" t="s">
        <v>1691</v>
      </c>
      <c r="B1" t="s">
        <v>1693</v>
      </c>
    </row>
    <row r="2" spans="1:2" x14ac:dyDescent="0.3">
      <c r="A2" s="7" t="s">
        <v>61</v>
      </c>
      <c r="B2" s="5">
        <v>2939350</v>
      </c>
    </row>
    <row r="3" spans="1:2" x14ac:dyDescent="0.3">
      <c r="A3" s="7" t="s">
        <v>41</v>
      </c>
      <c r="B3" s="5">
        <v>5612350</v>
      </c>
    </row>
    <row r="4" spans="1:2" x14ac:dyDescent="0.3">
      <c r="A4" s="7" t="s">
        <v>35</v>
      </c>
      <c r="B4" s="5">
        <v>5658300</v>
      </c>
    </row>
    <row r="5" spans="1:2" x14ac:dyDescent="0.3">
      <c r="A5" s="7" t="s">
        <v>115</v>
      </c>
      <c r="B5" s="5">
        <v>2027000</v>
      </c>
    </row>
    <row r="6" spans="1:2" x14ac:dyDescent="0.3">
      <c r="A6" s="7" t="s">
        <v>18</v>
      </c>
      <c r="B6" s="5">
        <v>10000200</v>
      </c>
    </row>
    <row r="7" spans="1:2" x14ac:dyDescent="0.3">
      <c r="A7" s="7" t="s">
        <v>1692</v>
      </c>
      <c r="B7" s="5">
        <v>26237200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A8FC1-5E60-45F3-8893-03F2FCA11DEE}">
  <dimension ref="A1:A28"/>
  <sheetViews>
    <sheetView tabSelected="1" topLeftCell="A23" workbookViewId="0">
      <selection activeCell="A28" sqref="A28"/>
    </sheetView>
  </sheetViews>
  <sheetFormatPr defaultRowHeight="14.4" x14ac:dyDescent="0.3"/>
  <cols>
    <col min="1" max="1" width="37.109375" customWidth="1"/>
  </cols>
  <sheetData>
    <row r="1" spans="1:1" ht="21" x14ac:dyDescent="0.4">
      <c r="A1" s="11" t="s">
        <v>1714</v>
      </c>
    </row>
    <row r="3" spans="1:1" ht="18" x14ac:dyDescent="0.35">
      <c r="A3" s="12" t="s">
        <v>1715</v>
      </c>
    </row>
    <row r="4" spans="1:1" ht="86.4" x14ac:dyDescent="0.3">
      <c r="A4" s="3" t="s">
        <v>1716</v>
      </c>
    </row>
    <row r="6" spans="1:1" ht="18" x14ac:dyDescent="0.35">
      <c r="A6" s="12" t="s">
        <v>1717</v>
      </c>
    </row>
    <row r="7" spans="1:1" ht="43.2" x14ac:dyDescent="0.3">
      <c r="A7" s="3" t="s">
        <v>1718</v>
      </c>
    </row>
    <row r="9" spans="1:1" ht="18" x14ac:dyDescent="0.35">
      <c r="A9" s="12" t="s">
        <v>1719</v>
      </c>
    </row>
    <row r="10" spans="1:1" ht="43.2" x14ac:dyDescent="0.3">
      <c r="A10" s="3" t="s">
        <v>1718</v>
      </c>
    </row>
    <row r="12" spans="1:1" ht="18" x14ac:dyDescent="0.35">
      <c r="A12" s="12" t="s">
        <v>1720</v>
      </c>
    </row>
    <row r="13" spans="1:1" ht="86.4" x14ac:dyDescent="0.3">
      <c r="A13" s="13" t="s">
        <v>1721</v>
      </c>
    </row>
    <row r="15" spans="1:1" ht="18" x14ac:dyDescent="0.35">
      <c r="A15" s="12" t="s">
        <v>1722</v>
      </c>
    </row>
    <row r="16" spans="1:1" ht="86.4" x14ac:dyDescent="0.3">
      <c r="A16" s="3" t="s">
        <v>1723</v>
      </c>
    </row>
    <row r="18" spans="1:1" ht="18" x14ac:dyDescent="0.35">
      <c r="A18" s="12" t="s">
        <v>1724</v>
      </c>
    </row>
    <row r="19" spans="1:1" ht="72" x14ac:dyDescent="0.3">
      <c r="A19" s="3" t="s">
        <v>1725</v>
      </c>
    </row>
    <row r="21" spans="1:1" ht="18" x14ac:dyDescent="0.35">
      <c r="A21" s="12" t="s">
        <v>1726</v>
      </c>
    </row>
    <row r="22" spans="1:1" ht="86.4" x14ac:dyDescent="0.3">
      <c r="A22" s="3" t="s">
        <v>1727</v>
      </c>
    </row>
    <row r="24" spans="1:1" ht="18" x14ac:dyDescent="0.35">
      <c r="A24" s="12" t="s">
        <v>1728</v>
      </c>
    </row>
    <row r="25" spans="1:1" ht="100.8" x14ac:dyDescent="0.3">
      <c r="A25" s="3" t="s">
        <v>1729</v>
      </c>
    </row>
    <row r="27" spans="1:1" ht="18" x14ac:dyDescent="0.35">
      <c r="A27" s="12" t="s">
        <v>1730</v>
      </c>
    </row>
    <row r="28" spans="1:1" ht="57.6" x14ac:dyDescent="0.3">
      <c r="A28" s="3" t="s">
        <v>1731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6C00-457B-48CF-97CF-279867CC29C4}">
  <dimension ref="A1:B7"/>
  <sheetViews>
    <sheetView topLeftCell="C1" workbookViewId="0">
      <selection activeCell="N9" sqref="N9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1" spans="1:2" x14ac:dyDescent="0.3">
      <c r="A1" s="6" t="s">
        <v>1691</v>
      </c>
      <c r="B1" t="s">
        <v>1693</v>
      </c>
    </row>
    <row r="2" spans="1:2" x14ac:dyDescent="0.3">
      <c r="A2" s="7" t="s">
        <v>137</v>
      </c>
      <c r="B2" s="5">
        <v>3797050</v>
      </c>
    </row>
    <row r="3" spans="1:2" x14ac:dyDescent="0.3">
      <c r="A3" s="7" t="s">
        <v>140</v>
      </c>
      <c r="B3" s="5">
        <v>2480700</v>
      </c>
    </row>
    <row r="4" spans="1:2" x14ac:dyDescent="0.3">
      <c r="A4" s="7" t="s">
        <v>56</v>
      </c>
      <c r="B4" s="5">
        <v>3714750</v>
      </c>
    </row>
    <row r="5" spans="1:2" x14ac:dyDescent="0.3">
      <c r="A5" s="7" t="s">
        <v>24</v>
      </c>
      <c r="B5" s="5">
        <v>4098950</v>
      </c>
    </row>
    <row r="6" spans="1:2" x14ac:dyDescent="0.3">
      <c r="A6" s="7" t="s">
        <v>193</v>
      </c>
      <c r="B6" s="5">
        <v>3150100</v>
      </c>
    </row>
    <row r="7" spans="1:2" x14ac:dyDescent="0.3">
      <c r="A7" s="7" t="s">
        <v>1692</v>
      </c>
      <c r="B7" s="5">
        <v>17241550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F1E63-0724-4368-818F-024EB40ED52F}">
  <dimension ref="B1:J5"/>
  <sheetViews>
    <sheetView zoomScale="72" zoomScaleNormal="72" workbookViewId="0">
      <selection activeCell="J3" sqref="J3"/>
    </sheetView>
  </sheetViews>
  <sheetFormatPr defaultRowHeight="14.4" x14ac:dyDescent="0.3"/>
  <cols>
    <col min="2" max="2" width="48.5546875" customWidth="1"/>
    <col min="4" max="4" width="31.5546875" customWidth="1"/>
    <col min="7" max="7" width="30.33203125" customWidth="1"/>
    <col min="10" max="10" width="25.5546875" customWidth="1"/>
  </cols>
  <sheetData>
    <row r="1" spans="2:10" ht="21" x14ac:dyDescent="0.4">
      <c r="B1" s="11" t="s">
        <v>1709</v>
      </c>
    </row>
    <row r="2" spans="2:10" ht="15.6" x14ac:dyDescent="0.3">
      <c r="B2" s="10" t="s">
        <v>1706</v>
      </c>
      <c r="D2" s="10" t="s">
        <v>1707</v>
      </c>
      <c r="G2" s="10" t="s">
        <v>1708</v>
      </c>
      <c r="J2" s="10" t="s">
        <v>1713</v>
      </c>
    </row>
    <row r="3" spans="2:10" x14ac:dyDescent="0.3">
      <c r="B3" s="8">
        <f>SUM('Raw Data'!L2:L1201)</f>
        <v>26285550</v>
      </c>
      <c r="D3">
        <f>COUNTA('Raw Data'!A2:A1201)</f>
        <v>1200</v>
      </c>
      <c r="G3" s="9">
        <f>AVERAGE('Raw Data'!L2:L1201)</f>
        <v>21904.625</v>
      </c>
      <c r="J3">
        <f>COUNTIF('Raw Data'!K2:K1201,"Cancelled")</f>
        <v>99</v>
      </c>
    </row>
    <row r="4" spans="2:10" ht="15.6" x14ac:dyDescent="0.3">
      <c r="B4" s="10" t="s">
        <v>1710</v>
      </c>
      <c r="D4" s="10" t="s">
        <v>1711</v>
      </c>
      <c r="G4" s="10" t="s">
        <v>1712</v>
      </c>
    </row>
    <row r="5" spans="2:10" x14ac:dyDescent="0.3">
      <c r="B5">
        <f>COUNTIF('Raw Data'!K2:K1201,"Delivered")</f>
        <v>936</v>
      </c>
      <c r="D5">
        <f>COUNTIF('Raw Data'!K2:K1201,"Returned")</f>
        <v>55</v>
      </c>
      <c r="G5">
        <f>COUNTIF('Raw Data'!K2:K1201,"Shipped")</f>
        <v>110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52C0-84D7-4E8D-B87D-12585727A575}">
  <dimension ref="A1:B14"/>
  <sheetViews>
    <sheetView topLeftCell="D1" workbookViewId="0">
      <selection activeCell="G19" sqref="G19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1" spans="1:2" x14ac:dyDescent="0.3">
      <c r="A1" s="6" t="s">
        <v>1691</v>
      </c>
      <c r="B1" t="s">
        <v>1693</v>
      </c>
    </row>
    <row r="2" spans="1:2" x14ac:dyDescent="0.3">
      <c r="A2" s="7" t="s">
        <v>1694</v>
      </c>
      <c r="B2" s="5">
        <v>2854700</v>
      </c>
    </row>
    <row r="3" spans="1:2" x14ac:dyDescent="0.3">
      <c r="A3" s="7" t="s">
        <v>1695</v>
      </c>
      <c r="B3" s="5">
        <v>2293250</v>
      </c>
    </row>
    <row r="4" spans="1:2" x14ac:dyDescent="0.3">
      <c r="A4" s="7" t="s">
        <v>1696</v>
      </c>
      <c r="B4" s="5">
        <v>2036600</v>
      </c>
    </row>
    <row r="5" spans="1:2" x14ac:dyDescent="0.3">
      <c r="A5" s="7" t="s">
        <v>1697</v>
      </c>
      <c r="B5" s="5">
        <v>2203000</v>
      </c>
    </row>
    <row r="6" spans="1:2" x14ac:dyDescent="0.3">
      <c r="A6" s="7" t="s">
        <v>1698</v>
      </c>
      <c r="B6" s="5">
        <v>2096950</v>
      </c>
    </row>
    <row r="7" spans="1:2" x14ac:dyDescent="0.3">
      <c r="A7" s="7" t="s">
        <v>1699</v>
      </c>
      <c r="B7" s="5">
        <v>2133100</v>
      </c>
    </row>
    <row r="8" spans="1:2" x14ac:dyDescent="0.3">
      <c r="A8" s="7" t="s">
        <v>1700</v>
      </c>
      <c r="B8" s="5">
        <v>2122150</v>
      </c>
    </row>
    <row r="9" spans="1:2" x14ac:dyDescent="0.3">
      <c r="A9" s="7" t="s">
        <v>1701</v>
      </c>
      <c r="B9" s="5">
        <v>2047000</v>
      </c>
    </row>
    <row r="10" spans="1:2" x14ac:dyDescent="0.3">
      <c r="A10" s="7" t="s">
        <v>1702</v>
      </c>
      <c r="B10" s="5">
        <v>2094500</v>
      </c>
    </row>
    <row r="11" spans="1:2" x14ac:dyDescent="0.3">
      <c r="A11" s="7" t="s">
        <v>1703</v>
      </c>
      <c r="B11" s="5">
        <v>2385450</v>
      </c>
    </row>
    <row r="12" spans="1:2" x14ac:dyDescent="0.3">
      <c r="A12" s="7" t="s">
        <v>1704</v>
      </c>
      <c r="B12" s="5">
        <v>2005900</v>
      </c>
    </row>
    <row r="13" spans="1:2" x14ac:dyDescent="0.3">
      <c r="A13" s="7" t="s">
        <v>1705</v>
      </c>
      <c r="B13" s="5">
        <v>2012950</v>
      </c>
    </row>
    <row r="14" spans="1:2" x14ac:dyDescent="0.3">
      <c r="A14" s="7" t="s">
        <v>1692</v>
      </c>
      <c r="B14" s="5">
        <v>26285550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B0B7B-C581-4EC5-9A49-5760CA502262}">
  <dimension ref="A1:B7"/>
  <sheetViews>
    <sheetView topLeftCell="A4" workbookViewId="0">
      <selection activeCell="G8" sqref="G8"/>
    </sheetView>
  </sheetViews>
  <sheetFormatPr defaultRowHeight="14.4" x14ac:dyDescent="0.3"/>
  <cols>
    <col min="1" max="1" width="14.21875" bestFit="1" customWidth="1"/>
    <col min="2" max="2" width="16.44140625" bestFit="1" customWidth="1"/>
  </cols>
  <sheetData>
    <row r="1" spans="1:2" x14ac:dyDescent="0.3">
      <c r="A1" s="6" t="s">
        <v>1691</v>
      </c>
      <c r="B1" t="s">
        <v>1693</v>
      </c>
    </row>
    <row r="2" spans="1:2" x14ac:dyDescent="0.3">
      <c r="A2" s="7" t="s">
        <v>59</v>
      </c>
      <c r="B2" s="5">
        <v>733000</v>
      </c>
    </row>
    <row r="3" spans="1:2" x14ac:dyDescent="0.3">
      <c r="A3" s="7" t="s">
        <v>23</v>
      </c>
      <c r="B3" s="5">
        <v>19344850</v>
      </c>
    </row>
    <row r="4" spans="1:2" x14ac:dyDescent="0.3">
      <c r="A4" s="7" t="s">
        <v>29</v>
      </c>
      <c r="B4" s="5">
        <v>1890700</v>
      </c>
    </row>
    <row r="5" spans="1:2" x14ac:dyDescent="0.3">
      <c r="A5" s="7" t="s">
        <v>16</v>
      </c>
      <c r="B5" s="5">
        <v>2364100</v>
      </c>
    </row>
    <row r="6" spans="1:2" x14ac:dyDescent="0.3">
      <c r="A6" s="7" t="s">
        <v>39</v>
      </c>
      <c r="B6" s="5">
        <v>1952900</v>
      </c>
    </row>
    <row r="7" spans="1:2" x14ac:dyDescent="0.3">
      <c r="A7" s="7" t="s">
        <v>1692</v>
      </c>
      <c r="B7" s="5">
        <v>26285550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E035C-B39E-44F4-959C-B2FF9262BCD5}">
  <dimension ref="A3:B8"/>
  <sheetViews>
    <sheetView workbookViewId="0">
      <selection activeCell="E5" sqref="E5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6" t="s">
        <v>1691</v>
      </c>
      <c r="B3" t="s">
        <v>1693</v>
      </c>
    </row>
    <row r="4" spans="1:2" x14ac:dyDescent="0.3">
      <c r="A4" s="7" t="s">
        <v>46</v>
      </c>
      <c r="B4" s="5">
        <v>4950900</v>
      </c>
    </row>
    <row r="5" spans="1:2" x14ac:dyDescent="0.3">
      <c r="A5" s="7" t="s">
        <v>33</v>
      </c>
      <c r="B5" s="5">
        <v>5579750</v>
      </c>
    </row>
    <row r="6" spans="1:2" x14ac:dyDescent="0.3">
      <c r="A6" s="7" t="s">
        <v>14</v>
      </c>
      <c r="B6" s="5">
        <v>10271750</v>
      </c>
    </row>
    <row r="7" spans="1:2" x14ac:dyDescent="0.3">
      <c r="A7" s="7" t="s">
        <v>64</v>
      </c>
      <c r="B7" s="5">
        <v>5483150</v>
      </c>
    </row>
    <row r="8" spans="1:2" x14ac:dyDescent="0.3">
      <c r="A8" s="7" t="s">
        <v>1692</v>
      </c>
      <c r="B8" s="5">
        <v>26285550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1"/>
  <sheetViews>
    <sheetView topLeftCell="M1" workbookViewId="0">
      <selection activeCell="R11" sqref="R11"/>
    </sheetView>
  </sheetViews>
  <sheetFormatPr defaultRowHeight="14.4" x14ac:dyDescent="0.3"/>
  <cols>
    <col min="1" max="1" width="18.33203125" customWidth="1"/>
    <col min="2" max="2" width="13.6640625" customWidth="1"/>
    <col min="3" max="3" width="17.88671875" customWidth="1"/>
    <col min="4" max="4" width="14.21875" customWidth="1"/>
    <col min="5" max="5" width="18.21875" customWidth="1"/>
    <col min="6" max="6" width="18.33203125" customWidth="1"/>
    <col min="7" max="7" width="18.6640625" customWidth="1"/>
    <col min="8" max="8" width="13.21875" customWidth="1"/>
    <col min="9" max="9" width="13.77734375" customWidth="1"/>
    <col min="10" max="10" width="22.5546875" customWidth="1"/>
    <col min="11" max="11" width="12" customWidth="1"/>
    <col min="12" max="12" width="13.6640625" style="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</row>
    <row r="2" spans="1:12" x14ac:dyDescent="0.3">
      <c r="A2" t="s">
        <v>12</v>
      </c>
      <c r="B2" t="s">
        <v>13</v>
      </c>
      <c r="C2" s="2">
        <v>45757</v>
      </c>
      <c r="D2" t="s">
        <v>14</v>
      </c>
      <c r="E2" t="s">
        <v>15</v>
      </c>
      <c r="F2" t="s">
        <v>16</v>
      </c>
      <c r="G2" t="s">
        <v>17</v>
      </c>
      <c r="H2">
        <v>1</v>
      </c>
      <c r="I2">
        <v>5500</v>
      </c>
      <c r="J2" t="s">
        <v>18</v>
      </c>
      <c r="K2" t="s">
        <v>19</v>
      </c>
      <c r="L2" s="5">
        <f>H2*I2</f>
        <v>5500</v>
      </c>
    </row>
    <row r="3" spans="1:12" x14ac:dyDescent="0.3">
      <c r="A3" t="s">
        <v>20</v>
      </c>
      <c r="B3" t="s">
        <v>21</v>
      </c>
      <c r="C3" s="2">
        <v>45971</v>
      </c>
      <c r="D3" t="s">
        <v>14</v>
      </c>
      <c r="E3" t="s">
        <v>22</v>
      </c>
      <c r="F3" t="s">
        <v>23</v>
      </c>
      <c r="G3" t="s">
        <v>24</v>
      </c>
      <c r="H3">
        <v>4</v>
      </c>
      <c r="I3">
        <v>47100</v>
      </c>
      <c r="J3" t="s">
        <v>18</v>
      </c>
      <c r="K3" t="s">
        <v>25</v>
      </c>
      <c r="L3" s="5">
        <f t="shared" ref="L3:L66" si="0">H3*I3</f>
        <v>188400</v>
      </c>
    </row>
    <row r="4" spans="1:12" x14ac:dyDescent="0.3">
      <c r="A4" t="s">
        <v>26</v>
      </c>
      <c r="B4" t="s">
        <v>27</v>
      </c>
      <c r="C4" s="2">
        <v>45832</v>
      </c>
      <c r="D4" t="s">
        <v>14</v>
      </c>
      <c r="E4" t="s">
        <v>28</v>
      </c>
      <c r="F4" t="s">
        <v>29</v>
      </c>
      <c r="G4" t="s">
        <v>30</v>
      </c>
      <c r="H4">
        <v>1</v>
      </c>
      <c r="I4">
        <v>5050</v>
      </c>
      <c r="J4" t="s">
        <v>18</v>
      </c>
      <c r="K4" t="s">
        <v>19</v>
      </c>
      <c r="L4" s="5">
        <f t="shared" si="0"/>
        <v>5050</v>
      </c>
    </row>
    <row r="5" spans="1:12" x14ac:dyDescent="0.3">
      <c r="A5" t="s">
        <v>31</v>
      </c>
      <c r="B5" t="s">
        <v>32</v>
      </c>
      <c r="C5" s="2">
        <v>45746</v>
      </c>
      <c r="D5" t="s">
        <v>33</v>
      </c>
      <c r="E5" t="s">
        <v>34</v>
      </c>
      <c r="F5" t="s">
        <v>29</v>
      </c>
      <c r="G5" t="s">
        <v>30</v>
      </c>
      <c r="H5">
        <v>3</v>
      </c>
      <c r="I5">
        <v>3950</v>
      </c>
      <c r="J5" t="s">
        <v>35</v>
      </c>
      <c r="K5" t="s">
        <v>19</v>
      </c>
      <c r="L5" s="5">
        <f t="shared" si="0"/>
        <v>11850</v>
      </c>
    </row>
    <row r="6" spans="1:12" x14ac:dyDescent="0.3">
      <c r="A6" t="s">
        <v>36</v>
      </c>
      <c r="B6" t="s">
        <v>37</v>
      </c>
      <c r="C6" s="2">
        <v>45692</v>
      </c>
      <c r="D6" t="s">
        <v>33</v>
      </c>
      <c r="E6" t="s">
        <v>38</v>
      </c>
      <c r="F6" t="s">
        <v>39</v>
      </c>
      <c r="G6" t="s">
        <v>40</v>
      </c>
      <c r="H6">
        <v>2</v>
      </c>
      <c r="I6">
        <v>1450</v>
      </c>
      <c r="J6" t="s">
        <v>41</v>
      </c>
      <c r="K6" t="s">
        <v>19</v>
      </c>
      <c r="L6" s="5">
        <f t="shared" si="0"/>
        <v>2900</v>
      </c>
    </row>
    <row r="7" spans="1:12" x14ac:dyDescent="0.3">
      <c r="A7" t="s">
        <v>42</v>
      </c>
      <c r="B7" t="s">
        <v>43</v>
      </c>
      <c r="C7" s="2">
        <v>45875</v>
      </c>
      <c r="D7" t="s">
        <v>14</v>
      </c>
      <c r="E7" t="s">
        <v>15</v>
      </c>
      <c r="F7" t="s">
        <v>39</v>
      </c>
      <c r="G7" t="s">
        <v>44</v>
      </c>
      <c r="H7">
        <v>2</v>
      </c>
      <c r="I7">
        <v>3450</v>
      </c>
      <c r="J7" t="s">
        <v>41</v>
      </c>
      <c r="K7" t="s">
        <v>19</v>
      </c>
      <c r="L7" s="5">
        <f t="shared" si="0"/>
        <v>6900</v>
      </c>
    </row>
    <row r="8" spans="1:12" x14ac:dyDescent="0.3">
      <c r="A8" t="s">
        <v>45</v>
      </c>
      <c r="B8" t="s">
        <v>27</v>
      </c>
      <c r="C8" s="2">
        <v>45953</v>
      </c>
      <c r="D8" t="s">
        <v>46</v>
      </c>
      <c r="E8" t="s">
        <v>47</v>
      </c>
      <c r="F8" t="s">
        <v>16</v>
      </c>
      <c r="G8" t="s">
        <v>48</v>
      </c>
      <c r="H8">
        <v>1</v>
      </c>
      <c r="I8">
        <v>6600</v>
      </c>
      <c r="J8" t="s">
        <v>41</v>
      </c>
      <c r="K8" t="s">
        <v>19</v>
      </c>
      <c r="L8" s="5">
        <f t="shared" si="0"/>
        <v>6600</v>
      </c>
    </row>
    <row r="9" spans="1:12" x14ac:dyDescent="0.3">
      <c r="A9" t="s">
        <v>49</v>
      </c>
      <c r="B9" t="s">
        <v>50</v>
      </c>
      <c r="C9" s="2">
        <v>45672</v>
      </c>
      <c r="D9" t="s">
        <v>14</v>
      </c>
      <c r="E9" t="s">
        <v>51</v>
      </c>
      <c r="F9" t="s">
        <v>39</v>
      </c>
      <c r="G9" t="s">
        <v>52</v>
      </c>
      <c r="H9">
        <v>4</v>
      </c>
      <c r="I9">
        <v>6050</v>
      </c>
      <c r="J9" t="s">
        <v>35</v>
      </c>
      <c r="K9" t="s">
        <v>19</v>
      </c>
      <c r="L9" s="5">
        <f t="shared" si="0"/>
        <v>24200</v>
      </c>
    </row>
    <row r="10" spans="1:12" x14ac:dyDescent="0.3">
      <c r="A10" t="s">
        <v>53</v>
      </c>
      <c r="B10" t="s">
        <v>54</v>
      </c>
      <c r="C10" s="2">
        <v>45820</v>
      </c>
      <c r="D10" t="s">
        <v>46</v>
      </c>
      <c r="E10" t="s">
        <v>55</v>
      </c>
      <c r="F10" t="s">
        <v>23</v>
      </c>
      <c r="G10" t="s">
        <v>56</v>
      </c>
      <c r="H10">
        <v>1</v>
      </c>
      <c r="I10">
        <v>26100</v>
      </c>
      <c r="J10" t="s">
        <v>18</v>
      </c>
      <c r="K10" t="s">
        <v>19</v>
      </c>
      <c r="L10" s="5">
        <f t="shared" si="0"/>
        <v>26100</v>
      </c>
    </row>
    <row r="11" spans="1:12" x14ac:dyDescent="0.3">
      <c r="A11" t="s">
        <v>57</v>
      </c>
      <c r="B11" t="s">
        <v>58</v>
      </c>
      <c r="C11" s="2">
        <v>45705</v>
      </c>
      <c r="D11" t="s">
        <v>14</v>
      </c>
      <c r="E11" t="s">
        <v>28</v>
      </c>
      <c r="F11" t="s">
        <v>59</v>
      </c>
      <c r="G11" t="s">
        <v>60</v>
      </c>
      <c r="H11">
        <v>4</v>
      </c>
      <c r="I11">
        <v>3350</v>
      </c>
      <c r="J11" t="s">
        <v>61</v>
      </c>
      <c r="K11" t="s">
        <v>19</v>
      </c>
      <c r="L11" s="5">
        <f t="shared" si="0"/>
        <v>13400</v>
      </c>
    </row>
    <row r="12" spans="1:12" x14ac:dyDescent="0.3">
      <c r="A12" t="s">
        <v>62</v>
      </c>
      <c r="B12" t="s">
        <v>63</v>
      </c>
      <c r="C12" s="2">
        <v>45914</v>
      </c>
      <c r="D12" t="s">
        <v>64</v>
      </c>
      <c r="E12" t="s">
        <v>65</v>
      </c>
      <c r="F12" t="s">
        <v>16</v>
      </c>
      <c r="G12" t="s">
        <v>17</v>
      </c>
      <c r="H12">
        <v>2</v>
      </c>
      <c r="I12">
        <v>2650</v>
      </c>
      <c r="J12" t="s">
        <v>41</v>
      </c>
      <c r="K12" t="s">
        <v>25</v>
      </c>
      <c r="L12" s="5">
        <f t="shared" si="0"/>
        <v>5300</v>
      </c>
    </row>
    <row r="13" spans="1:12" x14ac:dyDescent="0.3">
      <c r="A13" t="s">
        <v>66</v>
      </c>
      <c r="B13" t="s">
        <v>67</v>
      </c>
      <c r="C13" s="2">
        <v>45709</v>
      </c>
      <c r="D13" t="s">
        <v>33</v>
      </c>
      <c r="E13" t="s">
        <v>68</v>
      </c>
      <c r="F13" t="s">
        <v>59</v>
      </c>
      <c r="G13" t="s">
        <v>60</v>
      </c>
      <c r="H13">
        <v>1</v>
      </c>
      <c r="I13">
        <v>750</v>
      </c>
      <c r="J13" t="s">
        <v>18</v>
      </c>
      <c r="K13" t="s">
        <v>69</v>
      </c>
      <c r="L13" s="5">
        <f t="shared" si="0"/>
        <v>750</v>
      </c>
    </row>
    <row r="14" spans="1:12" x14ac:dyDescent="0.3">
      <c r="A14" t="s">
        <v>70</v>
      </c>
      <c r="B14" t="s">
        <v>71</v>
      </c>
      <c r="C14" s="2">
        <v>45844</v>
      </c>
      <c r="D14" t="s">
        <v>46</v>
      </c>
      <c r="E14" t="s">
        <v>72</v>
      </c>
      <c r="F14" t="s">
        <v>29</v>
      </c>
      <c r="G14" t="s">
        <v>30</v>
      </c>
      <c r="H14">
        <v>2</v>
      </c>
      <c r="I14">
        <v>5000</v>
      </c>
      <c r="J14" t="s">
        <v>18</v>
      </c>
      <c r="K14" t="s">
        <v>69</v>
      </c>
      <c r="L14" s="5">
        <f t="shared" si="0"/>
        <v>10000</v>
      </c>
    </row>
    <row r="15" spans="1:12" x14ac:dyDescent="0.3">
      <c r="A15" t="s">
        <v>73</v>
      </c>
      <c r="B15" t="s">
        <v>74</v>
      </c>
      <c r="C15" s="2">
        <v>45943</v>
      </c>
      <c r="D15" t="s">
        <v>46</v>
      </c>
      <c r="E15" t="s">
        <v>75</v>
      </c>
      <c r="F15" t="s">
        <v>29</v>
      </c>
      <c r="G15" t="s">
        <v>30</v>
      </c>
      <c r="H15">
        <v>1</v>
      </c>
      <c r="I15">
        <v>2650</v>
      </c>
      <c r="J15" t="s">
        <v>41</v>
      </c>
      <c r="K15" t="s">
        <v>19</v>
      </c>
      <c r="L15" s="5">
        <f t="shared" si="0"/>
        <v>2650</v>
      </c>
    </row>
    <row r="16" spans="1:12" x14ac:dyDescent="0.3">
      <c r="A16" t="s">
        <v>76</v>
      </c>
      <c r="B16" t="s">
        <v>77</v>
      </c>
      <c r="C16" s="2">
        <v>45890</v>
      </c>
      <c r="D16" t="s">
        <v>14</v>
      </c>
      <c r="E16" t="s">
        <v>51</v>
      </c>
      <c r="F16" t="s">
        <v>39</v>
      </c>
      <c r="G16" t="s">
        <v>40</v>
      </c>
      <c r="H16">
        <v>1</v>
      </c>
      <c r="I16">
        <v>3500</v>
      </c>
      <c r="J16" t="s">
        <v>18</v>
      </c>
      <c r="K16" t="s">
        <v>19</v>
      </c>
      <c r="L16" s="5">
        <f t="shared" si="0"/>
        <v>3500</v>
      </c>
    </row>
    <row r="17" spans="1:12" x14ac:dyDescent="0.3">
      <c r="A17" t="s">
        <v>78</v>
      </c>
      <c r="B17" t="s">
        <v>79</v>
      </c>
      <c r="C17" s="2">
        <v>45753</v>
      </c>
      <c r="D17" t="s">
        <v>33</v>
      </c>
      <c r="E17" t="s">
        <v>80</v>
      </c>
      <c r="F17" t="s">
        <v>16</v>
      </c>
      <c r="G17" t="s">
        <v>81</v>
      </c>
      <c r="H17">
        <v>1</v>
      </c>
      <c r="I17">
        <v>6300</v>
      </c>
      <c r="J17" t="s">
        <v>18</v>
      </c>
      <c r="K17" t="s">
        <v>19</v>
      </c>
      <c r="L17" s="5">
        <f t="shared" si="0"/>
        <v>6300</v>
      </c>
    </row>
    <row r="18" spans="1:12" x14ac:dyDescent="0.3">
      <c r="A18" t="s">
        <v>82</v>
      </c>
      <c r="B18" t="s">
        <v>83</v>
      </c>
      <c r="C18" s="2">
        <v>45770</v>
      </c>
      <c r="D18" t="s">
        <v>14</v>
      </c>
      <c r="E18" t="s">
        <v>51</v>
      </c>
      <c r="F18" t="s">
        <v>29</v>
      </c>
      <c r="G18" t="s">
        <v>30</v>
      </c>
      <c r="H18">
        <v>1</v>
      </c>
      <c r="I18">
        <v>2350</v>
      </c>
      <c r="J18" t="s">
        <v>35</v>
      </c>
      <c r="K18" t="s">
        <v>19</v>
      </c>
      <c r="L18" s="5">
        <f t="shared" si="0"/>
        <v>2350</v>
      </c>
    </row>
    <row r="19" spans="1:12" x14ac:dyDescent="0.3">
      <c r="A19" t="s">
        <v>84</v>
      </c>
      <c r="B19" t="s">
        <v>85</v>
      </c>
      <c r="C19" s="2">
        <v>45787</v>
      </c>
      <c r="D19" t="s">
        <v>64</v>
      </c>
      <c r="E19" t="s">
        <v>86</v>
      </c>
      <c r="F19" t="s">
        <v>39</v>
      </c>
      <c r="G19" t="s">
        <v>87</v>
      </c>
      <c r="H19">
        <v>1</v>
      </c>
      <c r="I19">
        <v>4400</v>
      </c>
      <c r="J19" t="s">
        <v>18</v>
      </c>
      <c r="K19" t="s">
        <v>19</v>
      </c>
      <c r="L19" s="5">
        <f t="shared" si="0"/>
        <v>4400</v>
      </c>
    </row>
    <row r="20" spans="1:12" x14ac:dyDescent="0.3">
      <c r="A20" t="s">
        <v>88</v>
      </c>
      <c r="B20" t="s">
        <v>89</v>
      </c>
      <c r="C20" s="2">
        <v>45937</v>
      </c>
      <c r="D20" t="s">
        <v>46</v>
      </c>
      <c r="E20" t="s">
        <v>55</v>
      </c>
      <c r="F20" t="s">
        <v>29</v>
      </c>
      <c r="G20" t="s">
        <v>90</v>
      </c>
      <c r="H20">
        <v>1</v>
      </c>
      <c r="I20">
        <v>4900</v>
      </c>
      <c r="J20" t="s">
        <v>41</v>
      </c>
      <c r="K20" t="s">
        <v>19</v>
      </c>
      <c r="L20" s="5">
        <f t="shared" si="0"/>
        <v>4900</v>
      </c>
    </row>
    <row r="21" spans="1:12" x14ac:dyDescent="0.3">
      <c r="A21" t="s">
        <v>91</v>
      </c>
      <c r="B21" t="s">
        <v>92</v>
      </c>
      <c r="C21" s="2">
        <v>45916</v>
      </c>
      <c r="D21" t="s">
        <v>64</v>
      </c>
      <c r="E21" t="s">
        <v>93</v>
      </c>
      <c r="F21" t="s">
        <v>16</v>
      </c>
      <c r="G21" t="s">
        <v>48</v>
      </c>
      <c r="H21">
        <v>3</v>
      </c>
      <c r="I21">
        <v>7400</v>
      </c>
      <c r="J21" t="s">
        <v>18</v>
      </c>
      <c r="K21" t="s">
        <v>19</v>
      </c>
      <c r="L21" s="5">
        <f t="shared" si="0"/>
        <v>22200</v>
      </c>
    </row>
    <row r="22" spans="1:12" x14ac:dyDescent="0.3">
      <c r="A22" t="s">
        <v>94</v>
      </c>
      <c r="B22" t="s">
        <v>95</v>
      </c>
      <c r="C22" s="2">
        <v>45785</v>
      </c>
      <c r="D22" t="s">
        <v>14</v>
      </c>
      <c r="E22" t="s">
        <v>22</v>
      </c>
      <c r="F22" t="s">
        <v>29</v>
      </c>
      <c r="G22" t="s">
        <v>96</v>
      </c>
      <c r="H22">
        <v>1</v>
      </c>
      <c r="I22">
        <v>4300</v>
      </c>
      <c r="J22" t="s">
        <v>35</v>
      </c>
      <c r="K22" t="s">
        <v>19</v>
      </c>
      <c r="L22" s="5">
        <f t="shared" si="0"/>
        <v>4300</v>
      </c>
    </row>
    <row r="23" spans="1:12" x14ac:dyDescent="0.3">
      <c r="A23" t="s">
        <v>97</v>
      </c>
      <c r="B23" t="s">
        <v>98</v>
      </c>
      <c r="C23" s="2">
        <v>45801</v>
      </c>
      <c r="D23" t="s">
        <v>64</v>
      </c>
      <c r="E23" t="s">
        <v>99</v>
      </c>
      <c r="F23" t="s">
        <v>29</v>
      </c>
      <c r="G23" t="s">
        <v>100</v>
      </c>
      <c r="H23">
        <v>4</v>
      </c>
      <c r="I23">
        <v>1250</v>
      </c>
      <c r="J23" t="s">
        <v>61</v>
      </c>
      <c r="K23" t="s">
        <v>19</v>
      </c>
      <c r="L23" s="5">
        <f t="shared" si="0"/>
        <v>5000</v>
      </c>
    </row>
    <row r="24" spans="1:12" x14ac:dyDescent="0.3">
      <c r="A24" t="s">
        <v>101</v>
      </c>
      <c r="B24" t="s">
        <v>102</v>
      </c>
      <c r="C24" s="2">
        <v>45890</v>
      </c>
      <c r="D24" t="s">
        <v>33</v>
      </c>
      <c r="E24" t="s">
        <v>80</v>
      </c>
      <c r="F24" t="s">
        <v>59</v>
      </c>
      <c r="G24" t="s">
        <v>103</v>
      </c>
      <c r="H24">
        <v>1</v>
      </c>
      <c r="I24">
        <v>1350</v>
      </c>
      <c r="J24" t="s">
        <v>61</v>
      </c>
      <c r="K24" t="s">
        <v>69</v>
      </c>
      <c r="L24" s="5">
        <f t="shared" si="0"/>
        <v>1350</v>
      </c>
    </row>
    <row r="25" spans="1:12" x14ac:dyDescent="0.3">
      <c r="A25" t="s">
        <v>104</v>
      </c>
      <c r="B25" t="s">
        <v>105</v>
      </c>
      <c r="C25" s="2">
        <v>45761</v>
      </c>
      <c r="D25" t="s">
        <v>46</v>
      </c>
      <c r="E25" t="s">
        <v>47</v>
      </c>
      <c r="F25" t="s">
        <v>16</v>
      </c>
      <c r="G25" t="s">
        <v>81</v>
      </c>
      <c r="H25">
        <v>2</v>
      </c>
      <c r="I25">
        <v>7050</v>
      </c>
      <c r="J25" t="s">
        <v>18</v>
      </c>
      <c r="K25" t="s">
        <v>19</v>
      </c>
      <c r="L25" s="5">
        <f t="shared" si="0"/>
        <v>14100</v>
      </c>
    </row>
    <row r="26" spans="1:12" x14ac:dyDescent="0.3">
      <c r="A26" t="s">
        <v>106</v>
      </c>
      <c r="B26" t="s">
        <v>107</v>
      </c>
      <c r="C26" s="2">
        <v>45820</v>
      </c>
      <c r="D26" t="s">
        <v>14</v>
      </c>
      <c r="E26" t="s">
        <v>51</v>
      </c>
      <c r="F26" t="s">
        <v>29</v>
      </c>
      <c r="G26" t="s">
        <v>96</v>
      </c>
      <c r="H26">
        <v>1</v>
      </c>
      <c r="I26">
        <v>5450</v>
      </c>
      <c r="J26" t="s">
        <v>18</v>
      </c>
      <c r="K26" t="s">
        <v>19</v>
      </c>
      <c r="L26" s="5">
        <f t="shared" si="0"/>
        <v>5450</v>
      </c>
    </row>
    <row r="27" spans="1:12" x14ac:dyDescent="0.3">
      <c r="A27" t="s">
        <v>108</v>
      </c>
      <c r="C27" s="2">
        <v>45852</v>
      </c>
      <c r="D27" t="s">
        <v>14</v>
      </c>
      <c r="E27" t="s">
        <v>15</v>
      </c>
      <c r="F27" t="s">
        <v>29</v>
      </c>
      <c r="G27" t="s">
        <v>100</v>
      </c>
      <c r="H27">
        <v>1</v>
      </c>
      <c r="I27">
        <v>2200</v>
      </c>
      <c r="J27" t="s">
        <v>35</v>
      </c>
      <c r="K27" t="s">
        <v>19</v>
      </c>
      <c r="L27" s="5">
        <f t="shared" si="0"/>
        <v>2200</v>
      </c>
    </row>
    <row r="28" spans="1:12" x14ac:dyDescent="0.3">
      <c r="A28" t="s">
        <v>109</v>
      </c>
      <c r="B28" t="s">
        <v>110</v>
      </c>
      <c r="C28" s="2">
        <v>45708</v>
      </c>
      <c r="D28" t="s">
        <v>33</v>
      </c>
      <c r="E28" t="s">
        <v>68</v>
      </c>
      <c r="F28" t="s">
        <v>29</v>
      </c>
      <c r="G28" t="s">
        <v>100</v>
      </c>
      <c r="H28">
        <v>1</v>
      </c>
      <c r="I28">
        <v>3200</v>
      </c>
      <c r="J28" t="s">
        <v>18</v>
      </c>
      <c r="K28" t="s">
        <v>25</v>
      </c>
      <c r="L28" s="5">
        <f t="shared" si="0"/>
        <v>3200</v>
      </c>
    </row>
    <row r="29" spans="1:12" x14ac:dyDescent="0.3">
      <c r="A29" t="s">
        <v>111</v>
      </c>
      <c r="B29" t="s">
        <v>112</v>
      </c>
      <c r="C29" s="2">
        <v>45961</v>
      </c>
      <c r="D29" t="s">
        <v>33</v>
      </c>
      <c r="E29" t="s">
        <v>80</v>
      </c>
      <c r="F29" t="s">
        <v>39</v>
      </c>
      <c r="G29" t="s">
        <v>87</v>
      </c>
      <c r="H29">
        <v>2</v>
      </c>
      <c r="I29">
        <v>5300</v>
      </c>
      <c r="J29" t="s">
        <v>41</v>
      </c>
      <c r="K29" t="s">
        <v>19</v>
      </c>
      <c r="L29" s="5">
        <f t="shared" si="0"/>
        <v>10600</v>
      </c>
    </row>
    <row r="30" spans="1:12" x14ac:dyDescent="0.3">
      <c r="A30" t="s">
        <v>113</v>
      </c>
      <c r="B30" t="s">
        <v>114</v>
      </c>
      <c r="C30" s="2">
        <v>45890</v>
      </c>
      <c r="D30" t="s">
        <v>64</v>
      </c>
      <c r="E30" t="s">
        <v>65</v>
      </c>
      <c r="F30" t="s">
        <v>16</v>
      </c>
      <c r="G30" t="s">
        <v>81</v>
      </c>
      <c r="H30">
        <v>4</v>
      </c>
      <c r="I30">
        <v>1800</v>
      </c>
      <c r="J30" t="s">
        <v>115</v>
      </c>
      <c r="K30" t="s">
        <v>69</v>
      </c>
      <c r="L30" s="5">
        <f t="shared" si="0"/>
        <v>7200</v>
      </c>
    </row>
    <row r="31" spans="1:12" x14ac:dyDescent="0.3">
      <c r="A31" t="s">
        <v>116</v>
      </c>
      <c r="B31" t="s">
        <v>117</v>
      </c>
      <c r="C31" s="2">
        <v>45818</v>
      </c>
      <c r="D31" t="s">
        <v>33</v>
      </c>
      <c r="E31" t="s">
        <v>80</v>
      </c>
      <c r="F31" t="s">
        <v>39</v>
      </c>
      <c r="G31" t="s">
        <v>52</v>
      </c>
      <c r="H31">
        <v>5</v>
      </c>
      <c r="I31">
        <v>5950</v>
      </c>
      <c r="J31" t="s">
        <v>18</v>
      </c>
      <c r="K31" t="s">
        <v>19</v>
      </c>
      <c r="L31" s="5">
        <f t="shared" si="0"/>
        <v>29750</v>
      </c>
    </row>
    <row r="32" spans="1:12" x14ac:dyDescent="0.3">
      <c r="A32" t="s">
        <v>118</v>
      </c>
      <c r="B32" t="s">
        <v>119</v>
      </c>
      <c r="C32" s="2">
        <v>45999</v>
      </c>
      <c r="D32" t="s">
        <v>33</v>
      </c>
      <c r="E32" t="s">
        <v>68</v>
      </c>
      <c r="F32" t="s">
        <v>16</v>
      </c>
      <c r="G32" t="s">
        <v>48</v>
      </c>
      <c r="H32">
        <v>4</v>
      </c>
      <c r="I32">
        <v>7650</v>
      </c>
      <c r="J32" t="s">
        <v>18</v>
      </c>
      <c r="K32" t="s">
        <v>19</v>
      </c>
      <c r="L32" s="5">
        <f t="shared" si="0"/>
        <v>30600</v>
      </c>
    </row>
    <row r="33" spans="1:12" x14ac:dyDescent="0.3">
      <c r="A33" t="s">
        <v>120</v>
      </c>
      <c r="B33" t="s">
        <v>121</v>
      </c>
      <c r="C33" s="2">
        <v>45904</v>
      </c>
      <c r="D33" t="s">
        <v>14</v>
      </c>
      <c r="E33" t="s">
        <v>22</v>
      </c>
      <c r="F33" t="s">
        <v>16</v>
      </c>
      <c r="G33" t="s">
        <v>81</v>
      </c>
      <c r="H33">
        <v>2</v>
      </c>
      <c r="I33">
        <v>6750</v>
      </c>
      <c r="J33" t="s">
        <v>35</v>
      </c>
      <c r="K33" t="s">
        <v>19</v>
      </c>
      <c r="L33" s="5">
        <f t="shared" si="0"/>
        <v>13500</v>
      </c>
    </row>
    <row r="34" spans="1:12" x14ac:dyDescent="0.3">
      <c r="A34" t="s">
        <v>122</v>
      </c>
      <c r="B34" t="s">
        <v>37</v>
      </c>
      <c r="C34" s="2">
        <v>45799</v>
      </c>
      <c r="D34" t="s">
        <v>46</v>
      </c>
      <c r="E34" t="s">
        <v>75</v>
      </c>
      <c r="F34" t="s">
        <v>16</v>
      </c>
      <c r="G34" t="s">
        <v>48</v>
      </c>
      <c r="H34">
        <v>1</v>
      </c>
      <c r="I34">
        <v>950</v>
      </c>
      <c r="J34" t="s">
        <v>35</v>
      </c>
      <c r="K34" t="s">
        <v>19</v>
      </c>
      <c r="L34" s="5">
        <f t="shared" si="0"/>
        <v>950</v>
      </c>
    </row>
    <row r="35" spans="1:12" x14ac:dyDescent="0.3">
      <c r="A35" t="s">
        <v>123</v>
      </c>
      <c r="B35" t="s">
        <v>124</v>
      </c>
      <c r="C35" s="2">
        <v>45807</v>
      </c>
      <c r="D35" t="s">
        <v>33</v>
      </c>
      <c r="E35" t="s">
        <v>34</v>
      </c>
      <c r="F35" t="s">
        <v>39</v>
      </c>
      <c r="G35" t="s">
        <v>44</v>
      </c>
      <c r="H35">
        <v>1</v>
      </c>
      <c r="I35">
        <v>6000</v>
      </c>
      <c r="J35" t="s">
        <v>41</v>
      </c>
      <c r="K35" t="s">
        <v>19</v>
      </c>
      <c r="L35" s="5">
        <f t="shared" si="0"/>
        <v>6000</v>
      </c>
    </row>
    <row r="36" spans="1:12" x14ac:dyDescent="0.3">
      <c r="A36" t="s">
        <v>125</v>
      </c>
      <c r="B36" t="s">
        <v>126</v>
      </c>
      <c r="C36" s="2">
        <v>45765</v>
      </c>
      <c r="D36" t="s">
        <v>14</v>
      </c>
      <c r="E36" t="s">
        <v>22</v>
      </c>
      <c r="F36" t="s">
        <v>29</v>
      </c>
      <c r="G36" t="s">
        <v>100</v>
      </c>
      <c r="H36">
        <v>2</v>
      </c>
      <c r="I36">
        <v>2700</v>
      </c>
      <c r="J36" t="s">
        <v>18</v>
      </c>
      <c r="K36" t="s">
        <v>127</v>
      </c>
      <c r="L36" s="5">
        <f t="shared" si="0"/>
        <v>5400</v>
      </c>
    </row>
    <row r="37" spans="1:12" x14ac:dyDescent="0.3">
      <c r="A37" t="s">
        <v>128</v>
      </c>
      <c r="B37" t="s">
        <v>129</v>
      </c>
      <c r="C37" s="2">
        <v>45781</v>
      </c>
      <c r="D37" t="s">
        <v>46</v>
      </c>
      <c r="E37" t="s">
        <v>55</v>
      </c>
      <c r="F37" t="s">
        <v>29</v>
      </c>
      <c r="G37" t="s">
        <v>30</v>
      </c>
      <c r="H37">
        <v>2</v>
      </c>
      <c r="I37">
        <v>4450</v>
      </c>
      <c r="J37" t="s">
        <v>35</v>
      </c>
      <c r="K37" t="s">
        <v>19</v>
      </c>
      <c r="L37" s="5">
        <f t="shared" si="0"/>
        <v>8900</v>
      </c>
    </row>
    <row r="38" spans="1:12" x14ac:dyDescent="0.3">
      <c r="A38" t="s">
        <v>130</v>
      </c>
      <c r="B38" t="s">
        <v>131</v>
      </c>
      <c r="C38" s="2">
        <v>45936</v>
      </c>
      <c r="D38" t="s">
        <v>64</v>
      </c>
      <c r="E38" t="s">
        <v>93</v>
      </c>
      <c r="F38" t="s">
        <v>59</v>
      </c>
      <c r="G38" t="s">
        <v>60</v>
      </c>
      <c r="H38">
        <v>2</v>
      </c>
      <c r="I38">
        <v>2300</v>
      </c>
      <c r="J38" t="s">
        <v>18</v>
      </c>
      <c r="K38" t="s">
        <v>19</v>
      </c>
      <c r="L38" s="5">
        <f t="shared" si="0"/>
        <v>4600</v>
      </c>
    </row>
    <row r="39" spans="1:12" x14ac:dyDescent="0.3">
      <c r="A39" t="s">
        <v>132</v>
      </c>
      <c r="B39" t="s">
        <v>133</v>
      </c>
      <c r="C39" s="2">
        <v>45894</v>
      </c>
      <c r="D39" t="s">
        <v>33</v>
      </c>
      <c r="E39" t="s">
        <v>38</v>
      </c>
      <c r="F39" t="s">
        <v>16</v>
      </c>
      <c r="G39" t="s">
        <v>134</v>
      </c>
      <c r="H39">
        <v>1</v>
      </c>
      <c r="I39">
        <v>8250</v>
      </c>
      <c r="J39" t="s">
        <v>18</v>
      </c>
      <c r="K39" t="s">
        <v>19</v>
      </c>
      <c r="L39" s="5">
        <f t="shared" si="0"/>
        <v>8250</v>
      </c>
    </row>
    <row r="40" spans="1:12" x14ac:dyDescent="0.3">
      <c r="A40" t="s">
        <v>135</v>
      </c>
      <c r="B40" t="s">
        <v>136</v>
      </c>
      <c r="C40" s="2">
        <v>45743</v>
      </c>
      <c r="D40" t="s">
        <v>64</v>
      </c>
      <c r="E40" t="s">
        <v>93</v>
      </c>
      <c r="F40" t="s">
        <v>23</v>
      </c>
      <c r="G40" t="s">
        <v>137</v>
      </c>
      <c r="H40">
        <v>2</v>
      </c>
      <c r="I40">
        <v>28700</v>
      </c>
      <c r="J40" t="s">
        <v>18</v>
      </c>
      <c r="K40" t="s">
        <v>19</v>
      </c>
      <c r="L40" s="5">
        <f t="shared" si="0"/>
        <v>57400</v>
      </c>
    </row>
    <row r="41" spans="1:12" x14ac:dyDescent="0.3">
      <c r="A41" t="s">
        <v>138</v>
      </c>
      <c r="B41" t="s">
        <v>139</v>
      </c>
      <c r="C41" s="2">
        <v>45998</v>
      </c>
      <c r="D41" t="s">
        <v>14</v>
      </c>
      <c r="E41" t="s">
        <v>51</v>
      </c>
      <c r="F41" t="s">
        <v>23</v>
      </c>
      <c r="G41" t="s">
        <v>140</v>
      </c>
      <c r="H41">
        <v>5</v>
      </c>
      <c r="I41">
        <v>20700</v>
      </c>
      <c r="J41" t="s">
        <v>18</v>
      </c>
      <c r="K41" t="s">
        <v>19</v>
      </c>
      <c r="L41" s="5">
        <f t="shared" si="0"/>
        <v>103500</v>
      </c>
    </row>
    <row r="42" spans="1:12" x14ac:dyDescent="0.3">
      <c r="A42" t="s">
        <v>141</v>
      </c>
      <c r="B42" t="s">
        <v>142</v>
      </c>
      <c r="C42" s="2">
        <v>45907</v>
      </c>
      <c r="D42" t="s">
        <v>33</v>
      </c>
      <c r="E42" t="s">
        <v>80</v>
      </c>
      <c r="F42" t="s">
        <v>16</v>
      </c>
      <c r="G42" t="s">
        <v>143</v>
      </c>
      <c r="H42">
        <v>2</v>
      </c>
      <c r="I42">
        <v>3750</v>
      </c>
      <c r="J42" t="s">
        <v>35</v>
      </c>
      <c r="K42" t="s">
        <v>19</v>
      </c>
      <c r="L42" s="5">
        <f t="shared" si="0"/>
        <v>7500</v>
      </c>
    </row>
    <row r="43" spans="1:12" x14ac:dyDescent="0.3">
      <c r="A43" t="s">
        <v>144</v>
      </c>
      <c r="B43" t="s">
        <v>145</v>
      </c>
      <c r="C43" s="2">
        <v>45817</v>
      </c>
      <c r="D43" t="s">
        <v>33</v>
      </c>
      <c r="E43" t="s">
        <v>80</v>
      </c>
      <c r="F43" t="s">
        <v>39</v>
      </c>
      <c r="G43" t="s">
        <v>146</v>
      </c>
      <c r="H43">
        <v>1</v>
      </c>
      <c r="I43">
        <v>2050</v>
      </c>
      <c r="J43" t="s">
        <v>35</v>
      </c>
      <c r="K43" t="s">
        <v>19</v>
      </c>
      <c r="L43" s="5">
        <f t="shared" si="0"/>
        <v>2050</v>
      </c>
    </row>
    <row r="44" spans="1:12" x14ac:dyDescent="0.3">
      <c r="A44" t="s">
        <v>147</v>
      </c>
      <c r="B44" t="s">
        <v>148</v>
      </c>
      <c r="C44" s="2">
        <v>45825</v>
      </c>
      <c r="D44" t="s">
        <v>33</v>
      </c>
      <c r="E44" t="s">
        <v>34</v>
      </c>
      <c r="F44" t="s">
        <v>39</v>
      </c>
      <c r="G44" t="s">
        <v>44</v>
      </c>
      <c r="H44">
        <v>3</v>
      </c>
      <c r="I44">
        <v>1700</v>
      </c>
      <c r="J44" t="s">
        <v>61</v>
      </c>
      <c r="K44" t="s">
        <v>19</v>
      </c>
      <c r="L44" s="5">
        <f t="shared" si="0"/>
        <v>5100</v>
      </c>
    </row>
    <row r="45" spans="1:12" x14ac:dyDescent="0.3">
      <c r="A45" t="s">
        <v>149</v>
      </c>
      <c r="B45" t="s">
        <v>150</v>
      </c>
      <c r="C45" s="2">
        <v>45747</v>
      </c>
      <c r="D45" t="s">
        <v>14</v>
      </c>
      <c r="E45" t="s">
        <v>15</v>
      </c>
      <c r="F45" t="s">
        <v>39</v>
      </c>
      <c r="G45" t="s">
        <v>44</v>
      </c>
      <c r="H45">
        <v>1</v>
      </c>
      <c r="I45">
        <v>1450</v>
      </c>
      <c r="J45" t="s">
        <v>18</v>
      </c>
      <c r="K45" t="s">
        <v>19</v>
      </c>
      <c r="L45" s="5">
        <f t="shared" si="0"/>
        <v>1450</v>
      </c>
    </row>
    <row r="46" spans="1:12" x14ac:dyDescent="0.3">
      <c r="A46" t="s">
        <v>151</v>
      </c>
      <c r="B46" t="s">
        <v>152</v>
      </c>
      <c r="C46" s="2">
        <v>45874</v>
      </c>
      <c r="D46" t="s">
        <v>64</v>
      </c>
      <c r="E46" t="s">
        <v>86</v>
      </c>
      <c r="F46" t="s">
        <v>16</v>
      </c>
      <c r="G46" t="s">
        <v>48</v>
      </c>
      <c r="H46">
        <v>1</v>
      </c>
      <c r="I46">
        <v>7400</v>
      </c>
      <c r="J46" t="s">
        <v>18</v>
      </c>
      <c r="K46" t="s">
        <v>19</v>
      </c>
      <c r="L46" s="5">
        <f t="shared" si="0"/>
        <v>7400</v>
      </c>
    </row>
    <row r="47" spans="1:12" x14ac:dyDescent="0.3">
      <c r="A47" t="s">
        <v>153</v>
      </c>
      <c r="B47" t="s">
        <v>154</v>
      </c>
      <c r="C47" s="2">
        <v>45809</v>
      </c>
      <c r="D47" t="s">
        <v>33</v>
      </c>
      <c r="E47" t="s">
        <v>80</v>
      </c>
      <c r="F47" t="s">
        <v>59</v>
      </c>
      <c r="G47" t="s">
        <v>103</v>
      </c>
      <c r="H47">
        <v>3</v>
      </c>
      <c r="I47">
        <v>3800</v>
      </c>
      <c r="J47" t="s">
        <v>115</v>
      </c>
      <c r="K47" t="s">
        <v>19</v>
      </c>
      <c r="L47" s="5">
        <f t="shared" si="0"/>
        <v>11400</v>
      </c>
    </row>
    <row r="48" spans="1:12" x14ac:dyDescent="0.3">
      <c r="A48" t="s">
        <v>155</v>
      </c>
      <c r="B48" t="s">
        <v>156</v>
      </c>
      <c r="C48" s="2">
        <v>45741</v>
      </c>
      <c r="D48" t="s">
        <v>14</v>
      </c>
      <c r="E48" t="s">
        <v>28</v>
      </c>
      <c r="F48" t="s">
        <v>39</v>
      </c>
      <c r="G48" t="s">
        <v>52</v>
      </c>
      <c r="H48">
        <v>2</v>
      </c>
      <c r="I48">
        <v>7650</v>
      </c>
      <c r="J48" t="s">
        <v>18</v>
      </c>
      <c r="K48" t="s">
        <v>69</v>
      </c>
      <c r="L48" s="5">
        <f t="shared" si="0"/>
        <v>15300</v>
      </c>
    </row>
    <row r="49" spans="1:12" x14ac:dyDescent="0.3">
      <c r="A49" t="s">
        <v>157</v>
      </c>
      <c r="B49" t="s">
        <v>158</v>
      </c>
      <c r="C49" s="2">
        <v>45863</v>
      </c>
      <c r="D49" t="s">
        <v>46</v>
      </c>
      <c r="E49" t="s">
        <v>75</v>
      </c>
      <c r="F49" t="s">
        <v>39</v>
      </c>
      <c r="G49" t="s">
        <v>52</v>
      </c>
      <c r="H49">
        <v>4</v>
      </c>
      <c r="I49">
        <v>1000</v>
      </c>
      <c r="J49" t="s">
        <v>61</v>
      </c>
      <c r="K49" t="s">
        <v>19</v>
      </c>
      <c r="L49" s="5">
        <f t="shared" si="0"/>
        <v>4000</v>
      </c>
    </row>
    <row r="50" spans="1:12" x14ac:dyDescent="0.3">
      <c r="A50" t="s">
        <v>159</v>
      </c>
      <c r="B50" t="s">
        <v>160</v>
      </c>
      <c r="C50" s="2">
        <v>45808</v>
      </c>
      <c r="D50" t="s">
        <v>33</v>
      </c>
      <c r="E50" t="s">
        <v>68</v>
      </c>
      <c r="F50" t="s">
        <v>29</v>
      </c>
      <c r="G50" t="s">
        <v>30</v>
      </c>
      <c r="H50">
        <v>1</v>
      </c>
      <c r="I50">
        <v>1050</v>
      </c>
      <c r="J50" t="s">
        <v>35</v>
      </c>
      <c r="K50" t="s">
        <v>19</v>
      </c>
      <c r="L50" s="5">
        <f t="shared" si="0"/>
        <v>1050</v>
      </c>
    </row>
    <row r="51" spans="1:12" x14ac:dyDescent="0.3">
      <c r="A51" t="s">
        <v>161</v>
      </c>
      <c r="B51" t="s">
        <v>162</v>
      </c>
      <c r="C51" s="2">
        <v>45988</v>
      </c>
      <c r="D51" t="s">
        <v>46</v>
      </c>
      <c r="E51" t="s">
        <v>47</v>
      </c>
      <c r="F51" t="s">
        <v>59</v>
      </c>
      <c r="G51" t="s">
        <v>163</v>
      </c>
      <c r="H51">
        <v>2</v>
      </c>
      <c r="I51">
        <v>500</v>
      </c>
      <c r="J51" t="s">
        <v>41</v>
      </c>
      <c r="K51" t="s">
        <v>69</v>
      </c>
      <c r="L51" s="5">
        <f t="shared" si="0"/>
        <v>1000</v>
      </c>
    </row>
    <row r="52" spans="1:12" x14ac:dyDescent="0.3">
      <c r="A52" t="s">
        <v>164</v>
      </c>
      <c r="B52" t="s">
        <v>121</v>
      </c>
      <c r="C52" s="2">
        <v>45940</v>
      </c>
      <c r="D52" t="s">
        <v>64</v>
      </c>
      <c r="E52" t="s">
        <v>86</v>
      </c>
      <c r="F52" t="s">
        <v>23</v>
      </c>
      <c r="G52" t="s">
        <v>140</v>
      </c>
      <c r="H52">
        <v>1</v>
      </c>
      <c r="I52">
        <v>40450</v>
      </c>
      <c r="J52" t="s">
        <v>18</v>
      </c>
      <c r="K52" t="s">
        <v>19</v>
      </c>
      <c r="L52" s="5">
        <f t="shared" si="0"/>
        <v>40450</v>
      </c>
    </row>
    <row r="53" spans="1:12" x14ac:dyDescent="0.3">
      <c r="A53" t="s">
        <v>165</v>
      </c>
      <c r="B53" t="s">
        <v>71</v>
      </c>
      <c r="C53" s="2">
        <v>45874</v>
      </c>
      <c r="D53" t="s">
        <v>33</v>
      </c>
      <c r="E53" t="s">
        <v>38</v>
      </c>
      <c r="F53" t="s">
        <v>59</v>
      </c>
      <c r="G53" t="s">
        <v>163</v>
      </c>
      <c r="H53">
        <v>1</v>
      </c>
      <c r="I53">
        <v>4950</v>
      </c>
      <c r="J53" t="s">
        <v>41</v>
      </c>
      <c r="K53" t="s">
        <v>127</v>
      </c>
      <c r="L53" s="5">
        <f t="shared" si="0"/>
        <v>4950</v>
      </c>
    </row>
    <row r="54" spans="1:12" x14ac:dyDescent="0.3">
      <c r="A54" t="s">
        <v>166</v>
      </c>
      <c r="B54" t="s">
        <v>167</v>
      </c>
      <c r="C54" s="2">
        <v>45696</v>
      </c>
      <c r="D54" t="s">
        <v>14</v>
      </c>
      <c r="E54" t="s">
        <v>28</v>
      </c>
      <c r="F54" t="s">
        <v>29</v>
      </c>
      <c r="G54" t="s">
        <v>30</v>
      </c>
      <c r="H54">
        <v>1</v>
      </c>
      <c r="I54">
        <v>4050</v>
      </c>
      <c r="J54" t="s">
        <v>35</v>
      </c>
      <c r="K54" t="s">
        <v>19</v>
      </c>
      <c r="L54" s="5">
        <f t="shared" si="0"/>
        <v>4050</v>
      </c>
    </row>
    <row r="55" spans="1:12" x14ac:dyDescent="0.3">
      <c r="A55" t="s">
        <v>168</v>
      </c>
      <c r="B55" t="s">
        <v>169</v>
      </c>
      <c r="C55" s="2">
        <v>45658</v>
      </c>
      <c r="D55" t="s">
        <v>14</v>
      </c>
      <c r="E55" t="s">
        <v>15</v>
      </c>
      <c r="F55" t="s">
        <v>16</v>
      </c>
      <c r="G55" t="s">
        <v>17</v>
      </c>
      <c r="H55">
        <v>2</v>
      </c>
      <c r="I55">
        <v>5250</v>
      </c>
      <c r="J55" t="s">
        <v>35</v>
      </c>
      <c r="K55" t="s">
        <v>127</v>
      </c>
      <c r="L55" s="5">
        <f t="shared" si="0"/>
        <v>10500</v>
      </c>
    </row>
    <row r="56" spans="1:12" x14ac:dyDescent="0.3">
      <c r="A56" t="s">
        <v>170</v>
      </c>
      <c r="B56" t="s">
        <v>171</v>
      </c>
      <c r="C56" s="2">
        <v>45701</v>
      </c>
      <c r="D56" t="s">
        <v>46</v>
      </c>
      <c r="E56" t="s">
        <v>72</v>
      </c>
      <c r="F56" t="s">
        <v>29</v>
      </c>
      <c r="G56" t="s">
        <v>30</v>
      </c>
      <c r="H56">
        <v>1</v>
      </c>
      <c r="I56">
        <v>4050</v>
      </c>
      <c r="J56" t="s">
        <v>41</v>
      </c>
      <c r="K56" t="s">
        <v>19</v>
      </c>
      <c r="L56" s="5">
        <f t="shared" si="0"/>
        <v>4050</v>
      </c>
    </row>
    <row r="57" spans="1:12" x14ac:dyDescent="0.3">
      <c r="A57" t="s">
        <v>172</v>
      </c>
      <c r="B57" t="s">
        <v>173</v>
      </c>
      <c r="C57" s="2">
        <v>45677</v>
      </c>
      <c r="D57" t="s">
        <v>14</v>
      </c>
      <c r="E57" t="s">
        <v>51</v>
      </c>
      <c r="F57" t="s">
        <v>39</v>
      </c>
      <c r="G57" t="s">
        <v>52</v>
      </c>
      <c r="H57">
        <v>4</v>
      </c>
      <c r="I57">
        <v>900</v>
      </c>
      <c r="J57" t="s">
        <v>61</v>
      </c>
      <c r="K57" t="s">
        <v>19</v>
      </c>
      <c r="L57" s="5">
        <f t="shared" si="0"/>
        <v>3600</v>
      </c>
    </row>
    <row r="58" spans="1:12" x14ac:dyDescent="0.3">
      <c r="A58" t="s">
        <v>174</v>
      </c>
      <c r="B58" t="s">
        <v>175</v>
      </c>
      <c r="C58" s="2">
        <v>45669</v>
      </c>
      <c r="D58" t="s">
        <v>14</v>
      </c>
      <c r="E58" t="s">
        <v>28</v>
      </c>
      <c r="F58" t="s">
        <v>23</v>
      </c>
      <c r="G58" t="s">
        <v>56</v>
      </c>
      <c r="H58">
        <v>2</v>
      </c>
      <c r="I58">
        <v>29950</v>
      </c>
      <c r="J58" t="s">
        <v>41</v>
      </c>
      <c r="K58" t="s">
        <v>69</v>
      </c>
      <c r="L58" s="5">
        <f t="shared" si="0"/>
        <v>59900</v>
      </c>
    </row>
    <row r="59" spans="1:12" x14ac:dyDescent="0.3">
      <c r="A59" t="s">
        <v>176</v>
      </c>
      <c r="B59" t="s">
        <v>177</v>
      </c>
      <c r="C59" s="2">
        <v>45685</v>
      </c>
      <c r="D59" t="s">
        <v>14</v>
      </c>
      <c r="E59" t="s">
        <v>51</v>
      </c>
      <c r="F59" t="s">
        <v>39</v>
      </c>
      <c r="G59" t="s">
        <v>44</v>
      </c>
      <c r="H59">
        <v>1</v>
      </c>
      <c r="I59">
        <v>3150</v>
      </c>
      <c r="J59" t="s">
        <v>41</v>
      </c>
      <c r="K59" t="s">
        <v>19</v>
      </c>
      <c r="L59" s="5">
        <f t="shared" si="0"/>
        <v>3150</v>
      </c>
    </row>
    <row r="60" spans="1:12" x14ac:dyDescent="0.3">
      <c r="A60" t="s">
        <v>178</v>
      </c>
      <c r="B60" t="s">
        <v>179</v>
      </c>
      <c r="C60" s="2">
        <v>45897</v>
      </c>
      <c r="D60" t="s">
        <v>14</v>
      </c>
      <c r="E60" t="s">
        <v>28</v>
      </c>
      <c r="F60" t="s">
        <v>23</v>
      </c>
      <c r="G60" t="s">
        <v>56</v>
      </c>
      <c r="H60">
        <v>2</v>
      </c>
      <c r="I60">
        <v>45600</v>
      </c>
      <c r="J60" t="s">
        <v>18</v>
      </c>
      <c r="K60" t="s">
        <v>127</v>
      </c>
      <c r="L60" s="5">
        <f t="shared" si="0"/>
        <v>91200</v>
      </c>
    </row>
    <row r="61" spans="1:12" x14ac:dyDescent="0.3">
      <c r="A61" t="s">
        <v>180</v>
      </c>
      <c r="B61" t="s">
        <v>181</v>
      </c>
      <c r="C61" s="2">
        <v>45899</v>
      </c>
      <c r="D61" t="s">
        <v>46</v>
      </c>
      <c r="E61" t="s">
        <v>47</v>
      </c>
      <c r="F61" t="s">
        <v>23</v>
      </c>
      <c r="G61" t="s">
        <v>24</v>
      </c>
      <c r="H61">
        <v>2</v>
      </c>
      <c r="I61">
        <v>27500</v>
      </c>
      <c r="J61" t="s">
        <v>61</v>
      </c>
      <c r="K61" t="s">
        <v>19</v>
      </c>
      <c r="L61" s="5">
        <f t="shared" si="0"/>
        <v>55000</v>
      </c>
    </row>
    <row r="62" spans="1:12" x14ac:dyDescent="0.3">
      <c r="A62" t="s">
        <v>182</v>
      </c>
      <c r="B62" t="s">
        <v>183</v>
      </c>
      <c r="C62" s="2">
        <v>45720</v>
      </c>
      <c r="D62" t="s">
        <v>14</v>
      </c>
      <c r="E62" t="s">
        <v>51</v>
      </c>
      <c r="F62" t="s">
        <v>29</v>
      </c>
      <c r="G62" t="s">
        <v>184</v>
      </c>
      <c r="H62">
        <v>2</v>
      </c>
      <c r="I62">
        <v>6300</v>
      </c>
      <c r="J62" t="s">
        <v>115</v>
      </c>
      <c r="K62" t="s">
        <v>19</v>
      </c>
      <c r="L62" s="5">
        <f t="shared" si="0"/>
        <v>12600</v>
      </c>
    </row>
    <row r="63" spans="1:12" x14ac:dyDescent="0.3">
      <c r="A63" t="s">
        <v>185</v>
      </c>
      <c r="B63" t="s">
        <v>186</v>
      </c>
      <c r="C63" s="2">
        <v>45663</v>
      </c>
      <c r="D63" t="s">
        <v>46</v>
      </c>
      <c r="E63" t="s">
        <v>75</v>
      </c>
      <c r="F63" t="s">
        <v>16</v>
      </c>
      <c r="G63" t="s">
        <v>81</v>
      </c>
      <c r="H63">
        <v>1</v>
      </c>
      <c r="I63">
        <v>800</v>
      </c>
      <c r="J63" t="s">
        <v>18</v>
      </c>
      <c r="K63" t="s">
        <v>19</v>
      </c>
      <c r="L63" s="5">
        <f t="shared" si="0"/>
        <v>800</v>
      </c>
    </row>
    <row r="64" spans="1:12" x14ac:dyDescent="0.3">
      <c r="A64" t="s">
        <v>187</v>
      </c>
      <c r="B64" t="s">
        <v>188</v>
      </c>
      <c r="C64" s="2">
        <v>45802</v>
      </c>
      <c r="D64" t="s">
        <v>46</v>
      </c>
      <c r="E64" t="s">
        <v>47</v>
      </c>
      <c r="F64" t="s">
        <v>29</v>
      </c>
      <c r="G64" t="s">
        <v>184</v>
      </c>
      <c r="H64">
        <v>2</v>
      </c>
      <c r="I64">
        <v>7350</v>
      </c>
      <c r="J64" t="s">
        <v>35</v>
      </c>
      <c r="K64" t="s">
        <v>19</v>
      </c>
      <c r="L64" s="5">
        <f t="shared" si="0"/>
        <v>14700</v>
      </c>
    </row>
    <row r="65" spans="1:12" x14ac:dyDescent="0.3">
      <c r="A65" t="s">
        <v>189</v>
      </c>
      <c r="B65" t="s">
        <v>190</v>
      </c>
      <c r="C65" s="2">
        <v>46005</v>
      </c>
      <c r="D65" t="s">
        <v>14</v>
      </c>
      <c r="E65" t="s">
        <v>28</v>
      </c>
      <c r="F65" t="s">
        <v>23</v>
      </c>
      <c r="G65" t="s">
        <v>56</v>
      </c>
      <c r="H65">
        <v>1</v>
      </c>
      <c r="I65">
        <v>18350</v>
      </c>
      <c r="J65" t="s">
        <v>61</v>
      </c>
      <c r="K65" t="s">
        <v>19</v>
      </c>
      <c r="L65" s="5">
        <f t="shared" si="0"/>
        <v>18350</v>
      </c>
    </row>
    <row r="66" spans="1:12" x14ac:dyDescent="0.3">
      <c r="A66" t="s">
        <v>191</v>
      </c>
      <c r="B66" t="s">
        <v>192</v>
      </c>
      <c r="C66" s="2">
        <v>45879</v>
      </c>
      <c r="D66" t="s">
        <v>33</v>
      </c>
      <c r="E66" t="s">
        <v>38</v>
      </c>
      <c r="F66" t="s">
        <v>23</v>
      </c>
      <c r="G66" t="s">
        <v>193</v>
      </c>
      <c r="H66">
        <v>2</v>
      </c>
      <c r="I66">
        <v>50350</v>
      </c>
      <c r="J66" t="s">
        <v>61</v>
      </c>
      <c r="K66" t="s">
        <v>19</v>
      </c>
      <c r="L66" s="5">
        <f t="shared" si="0"/>
        <v>100700</v>
      </c>
    </row>
    <row r="67" spans="1:12" x14ac:dyDescent="0.3">
      <c r="A67" t="s">
        <v>194</v>
      </c>
      <c r="B67" t="s">
        <v>195</v>
      </c>
      <c r="C67" s="2">
        <v>45849</v>
      </c>
      <c r="D67" t="s">
        <v>14</v>
      </c>
      <c r="E67" t="s">
        <v>28</v>
      </c>
      <c r="F67" t="s">
        <v>59</v>
      </c>
      <c r="G67" t="s">
        <v>103</v>
      </c>
      <c r="H67">
        <v>3</v>
      </c>
      <c r="I67">
        <v>2200</v>
      </c>
      <c r="J67" t="s">
        <v>35</v>
      </c>
      <c r="K67" t="s">
        <v>127</v>
      </c>
      <c r="L67" s="5">
        <f t="shared" ref="L67:L130" si="1">H67*I67</f>
        <v>6600</v>
      </c>
    </row>
    <row r="68" spans="1:12" x14ac:dyDescent="0.3">
      <c r="A68" t="s">
        <v>196</v>
      </c>
      <c r="B68" t="s">
        <v>197</v>
      </c>
      <c r="C68" s="2">
        <v>45687</v>
      </c>
      <c r="D68" t="s">
        <v>64</v>
      </c>
      <c r="E68" t="s">
        <v>86</v>
      </c>
      <c r="F68" t="s">
        <v>23</v>
      </c>
      <c r="G68" t="s">
        <v>193</v>
      </c>
      <c r="H68">
        <v>1</v>
      </c>
      <c r="I68">
        <v>36350</v>
      </c>
      <c r="J68" t="s">
        <v>35</v>
      </c>
      <c r="K68" t="s">
        <v>19</v>
      </c>
      <c r="L68" s="5">
        <f t="shared" si="1"/>
        <v>36350</v>
      </c>
    </row>
    <row r="69" spans="1:12" x14ac:dyDescent="0.3">
      <c r="A69" t="s">
        <v>198</v>
      </c>
      <c r="B69" t="s">
        <v>199</v>
      </c>
      <c r="C69" s="2">
        <v>45691</v>
      </c>
      <c r="D69" t="s">
        <v>64</v>
      </c>
      <c r="E69" t="s">
        <v>99</v>
      </c>
      <c r="F69" t="s">
        <v>29</v>
      </c>
      <c r="G69" t="s">
        <v>96</v>
      </c>
      <c r="H69">
        <v>4</v>
      </c>
      <c r="I69">
        <v>1500</v>
      </c>
      <c r="J69" t="s">
        <v>41</v>
      </c>
      <c r="K69" t="s">
        <v>19</v>
      </c>
      <c r="L69" s="5">
        <f t="shared" si="1"/>
        <v>6000</v>
      </c>
    </row>
    <row r="70" spans="1:12" x14ac:dyDescent="0.3">
      <c r="A70" t="s">
        <v>200</v>
      </c>
      <c r="B70" t="s">
        <v>201</v>
      </c>
      <c r="C70" s="2">
        <v>45752</v>
      </c>
      <c r="D70" t="s">
        <v>14</v>
      </c>
      <c r="E70" t="s">
        <v>28</v>
      </c>
      <c r="F70" t="s">
        <v>29</v>
      </c>
      <c r="G70" t="s">
        <v>90</v>
      </c>
      <c r="H70">
        <v>1</v>
      </c>
      <c r="I70">
        <v>4800</v>
      </c>
      <c r="J70" t="s">
        <v>41</v>
      </c>
      <c r="K70" t="s">
        <v>19</v>
      </c>
      <c r="L70" s="5">
        <f t="shared" si="1"/>
        <v>4800</v>
      </c>
    </row>
    <row r="71" spans="1:12" x14ac:dyDescent="0.3">
      <c r="A71" t="s">
        <v>202</v>
      </c>
      <c r="B71" t="s">
        <v>203</v>
      </c>
      <c r="C71" s="2">
        <v>45779</v>
      </c>
      <c r="D71" t="s">
        <v>14</v>
      </c>
      <c r="E71" t="s">
        <v>15</v>
      </c>
      <c r="F71" t="s">
        <v>16</v>
      </c>
      <c r="G71" t="s">
        <v>134</v>
      </c>
      <c r="H71">
        <v>3</v>
      </c>
      <c r="I71">
        <v>3850</v>
      </c>
      <c r="J71" t="s">
        <v>41</v>
      </c>
      <c r="K71" t="s">
        <v>25</v>
      </c>
      <c r="L71" s="5">
        <f t="shared" si="1"/>
        <v>11550</v>
      </c>
    </row>
    <row r="72" spans="1:12" x14ac:dyDescent="0.3">
      <c r="A72" t="s">
        <v>204</v>
      </c>
      <c r="B72" t="s">
        <v>205</v>
      </c>
      <c r="C72" s="2">
        <v>46003</v>
      </c>
      <c r="D72" t="s">
        <v>14</v>
      </c>
      <c r="E72" t="s">
        <v>15</v>
      </c>
      <c r="F72" t="s">
        <v>23</v>
      </c>
      <c r="G72" t="s">
        <v>137</v>
      </c>
      <c r="H72">
        <v>1</v>
      </c>
      <c r="I72">
        <v>23050</v>
      </c>
      <c r="J72" t="s">
        <v>41</v>
      </c>
      <c r="K72" t="s">
        <v>19</v>
      </c>
      <c r="L72" s="5">
        <f t="shared" si="1"/>
        <v>23050</v>
      </c>
    </row>
    <row r="73" spans="1:12" x14ac:dyDescent="0.3">
      <c r="A73" t="s">
        <v>206</v>
      </c>
      <c r="B73" t="s">
        <v>207</v>
      </c>
      <c r="C73" s="2">
        <v>46007</v>
      </c>
      <c r="D73" t="s">
        <v>33</v>
      </c>
      <c r="E73" t="s">
        <v>80</v>
      </c>
      <c r="F73" t="s">
        <v>39</v>
      </c>
      <c r="G73" t="s">
        <v>146</v>
      </c>
      <c r="H73">
        <v>1</v>
      </c>
      <c r="I73">
        <v>3550</v>
      </c>
      <c r="J73" t="s">
        <v>41</v>
      </c>
      <c r="K73" t="s">
        <v>19</v>
      </c>
      <c r="L73" s="5">
        <f t="shared" si="1"/>
        <v>3550</v>
      </c>
    </row>
    <row r="74" spans="1:12" x14ac:dyDescent="0.3">
      <c r="A74" t="s">
        <v>208</v>
      </c>
      <c r="B74" t="s">
        <v>209</v>
      </c>
      <c r="C74" s="2">
        <v>45713</v>
      </c>
      <c r="D74" t="s">
        <v>14</v>
      </c>
      <c r="E74" t="s">
        <v>15</v>
      </c>
      <c r="F74" t="s">
        <v>23</v>
      </c>
      <c r="G74" t="s">
        <v>137</v>
      </c>
      <c r="H74">
        <v>2</v>
      </c>
      <c r="I74">
        <v>52550</v>
      </c>
      <c r="J74" t="s">
        <v>18</v>
      </c>
      <c r="K74" t="s">
        <v>19</v>
      </c>
      <c r="L74" s="5">
        <f t="shared" si="1"/>
        <v>105100</v>
      </c>
    </row>
    <row r="75" spans="1:12" x14ac:dyDescent="0.3">
      <c r="A75" t="s">
        <v>210</v>
      </c>
      <c r="B75" t="s">
        <v>211</v>
      </c>
      <c r="C75" s="2">
        <v>45660</v>
      </c>
      <c r="D75" t="s">
        <v>64</v>
      </c>
      <c r="E75" t="s">
        <v>86</v>
      </c>
      <c r="F75" t="s">
        <v>16</v>
      </c>
      <c r="G75" t="s">
        <v>48</v>
      </c>
      <c r="H75">
        <v>2</v>
      </c>
      <c r="I75">
        <v>4300</v>
      </c>
      <c r="J75" t="s">
        <v>18</v>
      </c>
      <c r="K75" t="s">
        <v>19</v>
      </c>
      <c r="L75" s="5">
        <f t="shared" si="1"/>
        <v>8600</v>
      </c>
    </row>
    <row r="76" spans="1:12" x14ac:dyDescent="0.3">
      <c r="A76" t="s">
        <v>212</v>
      </c>
      <c r="B76" t="s">
        <v>213</v>
      </c>
      <c r="C76" s="2">
        <v>45685</v>
      </c>
      <c r="D76" t="s">
        <v>33</v>
      </c>
      <c r="E76" t="s">
        <v>80</v>
      </c>
      <c r="F76" t="s">
        <v>39</v>
      </c>
      <c r="G76" t="s">
        <v>87</v>
      </c>
      <c r="H76">
        <v>1</v>
      </c>
      <c r="I76">
        <v>8750</v>
      </c>
      <c r="J76" t="s">
        <v>41</v>
      </c>
      <c r="K76" t="s">
        <v>19</v>
      </c>
      <c r="L76" s="5">
        <f t="shared" si="1"/>
        <v>8750</v>
      </c>
    </row>
    <row r="77" spans="1:12" x14ac:dyDescent="0.3">
      <c r="A77" t="s">
        <v>214</v>
      </c>
      <c r="B77" t="s">
        <v>215</v>
      </c>
      <c r="C77" s="2">
        <v>45724</v>
      </c>
      <c r="D77" t="s">
        <v>46</v>
      </c>
      <c r="E77" t="s">
        <v>47</v>
      </c>
      <c r="F77" t="s">
        <v>23</v>
      </c>
      <c r="G77" t="s">
        <v>56</v>
      </c>
      <c r="H77">
        <v>1</v>
      </c>
      <c r="I77">
        <v>21750</v>
      </c>
      <c r="J77" t="s">
        <v>61</v>
      </c>
      <c r="K77" t="s">
        <v>19</v>
      </c>
      <c r="L77" s="5">
        <f t="shared" si="1"/>
        <v>21750</v>
      </c>
    </row>
    <row r="78" spans="1:12" x14ac:dyDescent="0.3">
      <c r="A78" t="s">
        <v>216</v>
      </c>
      <c r="B78" t="s">
        <v>217</v>
      </c>
      <c r="C78" s="2">
        <v>45758</v>
      </c>
      <c r="D78" t="s">
        <v>14</v>
      </c>
      <c r="E78" t="s">
        <v>28</v>
      </c>
      <c r="F78" t="s">
        <v>29</v>
      </c>
      <c r="G78" t="s">
        <v>90</v>
      </c>
      <c r="H78">
        <v>2</v>
      </c>
      <c r="I78">
        <v>6000</v>
      </c>
      <c r="J78" t="s">
        <v>41</v>
      </c>
      <c r="K78" t="s">
        <v>19</v>
      </c>
      <c r="L78" s="5">
        <f t="shared" si="1"/>
        <v>12000</v>
      </c>
    </row>
    <row r="79" spans="1:12" x14ac:dyDescent="0.3">
      <c r="A79" t="s">
        <v>218</v>
      </c>
      <c r="B79" t="s">
        <v>219</v>
      </c>
      <c r="C79" s="2">
        <v>45934</v>
      </c>
      <c r="D79" t="s">
        <v>64</v>
      </c>
      <c r="E79" t="s">
        <v>93</v>
      </c>
      <c r="F79" t="s">
        <v>16</v>
      </c>
      <c r="G79" t="s">
        <v>48</v>
      </c>
      <c r="H79">
        <v>5</v>
      </c>
      <c r="I79">
        <v>3350</v>
      </c>
      <c r="J79" t="s">
        <v>35</v>
      </c>
      <c r="K79" t="s">
        <v>19</v>
      </c>
      <c r="L79" s="5">
        <f t="shared" si="1"/>
        <v>16750</v>
      </c>
    </row>
    <row r="80" spans="1:12" x14ac:dyDescent="0.3">
      <c r="A80" t="s">
        <v>220</v>
      </c>
      <c r="B80" t="s">
        <v>221</v>
      </c>
      <c r="C80" s="2">
        <v>45688</v>
      </c>
      <c r="D80" t="s">
        <v>46</v>
      </c>
      <c r="E80" t="s">
        <v>47</v>
      </c>
      <c r="F80" t="s">
        <v>23</v>
      </c>
      <c r="G80" t="s">
        <v>140</v>
      </c>
      <c r="H80">
        <v>1</v>
      </c>
      <c r="I80">
        <v>19050</v>
      </c>
      <c r="J80" t="s">
        <v>61</v>
      </c>
      <c r="K80" t="s">
        <v>19</v>
      </c>
      <c r="L80" s="5">
        <f t="shared" si="1"/>
        <v>19050</v>
      </c>
    </row>
    <row r="81" spans="1:12" x14ac:dyDescent="0.3">
      <c r="A81" t="s">
        <v>222</v>
      </c>
      <c r="B81" t="s">
        <v>223</v>
      </c>
      <c r="C81" s="2">
        <v>45751</v>
      </c>
      <c r="D81" t="s">
        <v>46</v>
      </c>
      <c r="E81" t="s">
        <v>47</v>
      </c>
      <c r="F81" t="s">
        <v>16</v>
      </c>
      <c r="G81" t="s">
        <v>134</v>
      </c>
      <c r="H81">
        <v>4</v>
      </c>
      <c r="I81">
        <v>3750</v>
      </c>
      <c r="J81" t="s">
        <v>61</v>
      </c>
      <c r="K81" t="s">
        <v>127</v>
      </c>
      <c r="L81" s="5">
        <f t="shared" si="1"/>
        <v>15000</v>
      </c>
    </row>
    <row r="82" spans="1:12" x14ac:dyDescent="0.3">
      <c r="A82" t="s">
        <v>224</v>
      </c>
      <c r="B82" t="s">
        <v>225</v>
      </c>
      <c r="C82" s="2">
        <v>45775</v>
      </c>
      <c r="D82" t="s">
        <v>46</v>
      </c>
      <c r="E82" t="s">
        <v>47</v>
      </c>
      <c r="F82" t="s">
        <v>23</v>
      </c>
      <c r="G82" t="s">
        <v>24</v>
      </c>
      <c r="H82">
        <v>2</v>
      </c>
      <c r="I82">
        <v>36500</v>
      </c>
      <c r="J82" t="s">
        <v>18</v>
      </c>
      <c r="K82" t="s">
        <v>19</v>
      </c>
      <c r="L82" s="5">
        <f t="shared" si="1"/>
        <v>73000</v>
      </c>
    </row>
    <row r="83" spans="1:12" x14ac:dyDescent="0.3">
      <c r="A83" t="s">
        <v>226</v>
      </c>
      <c r="B83" t="s">
        <v>227</v>
      </c>
      <c r="C83" s="2">
        <v>45796</v>
      </c>
      <c r="D83" t="s">
        <v>33</v>
      </c>
      <c r="E83" t="s">
        <v>80</v>
      </c>
      <c r="F83" t="s">
        <v>59</v>
      </c>
      <c r="G83" t="s">
        <v>228</v>
      </c>
      <c r="H83">
        <v>2</v>
      </c>
      <c r="I83">
        <v>2750</v>
      </c>
      <c r="J83" t="s">
        <v>35</v>
      </c>
      <c r="K83" t="s">
        <v>19</v>
      </c>
      <c r="L83" s="5">
        <f t="shared" si="1"/>
        <v>5500</v>
      </c>
    </row>
    <row r="84" spans="1:12" x14ac:dyDescent="0.3">
      <c r="A84" t="s">
        <v>229</v>
      </c>
      <c r="B84" t="s">
        <v>230</v>
      </c>
      <c r="C84" s="2">
        <v>45670</v>
      </c>
      <c r="D84" t="s">
        <v>33</v>
      </c>
      <c r="E84" t="s">
        <v>80</v>
      </c>
      <c r="F84" t="s">
        <v>39</v>
      </c>
      <c r="G84" t="s">
        <v>52</v>
      </c>
      <c r="H84">
        <v>1</v>
      </c>
      <c r="I84">
        <v>4000</v>
      </c>
      <c r="J84" t="s">
        <v>41</v>
      </c>
      <c r="K84" t="s">
        <v>19</v>
      </c>
      <c r="L84" s="5">
        <f t="shared" si="1"/>
        <v>4000</v>
      </c>
    </row>
    <row r="85" spans="1:12" x14ac:dyDescent="0.3">
      <c r="A85" t="s">
        <v>231</v>
      </c>
      <c r="B85" t="s">
        <v>232</v>
      </c>
      <c r="C85" s="2">
        <v>45751</v>
      </c>
      <c r="D85" t="s">
        <v>14</v>
      </c>
      <c r="E85" t="s">
        <v>51</v>
      </c>
      <c r="F85" t="s">
        <v>29</v>
      </c>
      <c r="G85" t="s">
        <v>30</v>
      </c>
      <c r="H85">
        <v>1</v>
      </c>
      <c r="I85">
        <v>400</v>
      </c>
      <c r="J85" t="s">
        <v>41</v>
      </c>
      <c r="K85" t="s">
        <v>19</v>
      </c>
      <c r="L85" s="5">
        <f t="shared" si="1"/>
        <v>400</v>
      </c>
    </row>
    <row r="86" spans="1:12" x14ac:dyDescent="0.3">
      <c r="A86" t="s">
        <v>233</v>
      </c>
      <c r="B86" t="s">
        <v>234</v>
      </c>
      <c r="C86" s="2">
        <v>45658</v>
      </c>
      <c r="D86" t="s">
        <v>46</v>
      </c>
      <c r="E86" t="s">
        <v>55</v>
      </c>
      <c r="F86" t="s">
        <v>23</v>
      </c>
      <c r="G86" t="s">
        <v>137</v>
      </c>
      <c r="H86">
        <v>4</v>
      </c>
      <c r="I86">
        <v>26950</v>
      </c>
      <c r="J86" t="s">
        <v>115</v>
      </c>
      <c r="K86" t="s">
        <v>19</v>
      </c>
      <c r="L86" s="5">
        <f t="shared" si="1"/>
        <v>107800</v>
      </c>
    </row>
    <row r="87" spans="1:12" x14ac:dyDescent="0.3">
      <c r="A87" t="s">
        <v>235</v>
      </c>
      <c r="B87" t="s">
        <v>236</v>
      </c>
      <c r="C87" s="2">
        <v>45662</v>
      </c>
      <c r="D87" t="s">
        <v>46</v>
      </c>
      <c r="E87" t="s">
        <v>55</v>
      </c>
      <c r="F87" t="s">
        <v>59</v>
      </c>
      <c r="G87" t="s">
        <v>228</v>
      </c>
      <c r="H87">
        <v>2</v>
      </c>
      <c r="I87">
        <v>4150</v>
      </c>
      <c r="J87" t="s">
        <v>35</v>
      </c>
      <c r="K87" t="s">
        <v>127</v>
      </c>
      <c r="L87" s="5">
        <f t="shared" si="1"/>
        <v>8300</v>
      </c>
    </row>
    <row r="88" spans="1:12" x14ac:dyDescent="0.3">
      <c r="A88" t="s">
        <v>237</v>
      </c>
      <c r="B88" t="s">
        <v>238</v>
      </c>
      <c r="C88" s="2">
        <v>45945</v>
      </c>
      <c r="D88" t="s">
        <v>46</v>
      </c>
      <c r="E88" t="s">
        <v>75</v>
      </c>
      <c r="F88" t="s">
        <v>23</v>
      </c>
      <c r="G88" t="s">
        <v>193</v>
      </c>
      <c r="H88">
        <v>1</v>
      </c>
      <c r="I88">
        <v>57100</v>
      </c>
      <c r="J88" t="s">
        <v>61</v>
      </c>
      <c r="K88" t="s">
        <v>19</v>
      </c>
      <c r="L88" s="5">
        <f t="shared" si="1"/>
        <v>57100</v>
      </c>
    </row>
    <row r="89" spans="1:12" x14ac:dyDescent="0.3">
      <c r="A89" t="s">
        <v>237</v>
      </c>
      <c r="B89" t="s">
        <v>239</v>
      </c>
      <c r="C89" s="2">
        <v>45761</v>
      </c>
      <c r="D89" t="s">
        <v>64</v>
      </c>
      <c r="E89" t="s">
        <v>93</v>
      </c>
      <c r="F89" t="s">
        <v>16</v>
      </c>
      <c r="G89" t="s">
        <v>143</v>
      </c>
      <c r="H89">
        <v>1</v>
      </c>
      <c r="I89">
        <v>5300</v>
      </c>
      <c r="J89" t="s">
        <v>41</v>
      </c>
      <c r="K89" t="s">
        <v>19</v>
      </c>
      <c r="L89" s="5">
        <f t="shared" si="1"/>
        <v>5300</v>
      </c>
    </row>
    <row r="90" spans="1:12" x14ac:dyDescent="0.3">
      <c r="A90" t="s">
        <v>240</v>
      </c>
      <c r="B90" t="s">
        <v>50</v>
      </c>
      <c r="C90" s="2">
        <v>45946</v>
      </c>
      <c r="D90" t="s">
        <v>33</v>
      </c>
      <c r="E90" t="s">
        <v>68</v>
      </c>
      <c r="F90" t="s">
        <v>23</v>
      </c>
      <c r="G90" t="s">
        <v>24</v>
      </c>
      <c r="H90">
        <v>1</v>
      </c>
      <c r="I90">
        <v>41050</v>
      </c>
      <c r="J90" t="s">
        <v>18</v>
      </c>
      <c r="K90" t="s">
        <v>127</v>
      </c>
      <c r="L90" s="5">
        <f t="shared" si="1"/>
        <v>41050</v>
      </c>
    </row>
    <row r="91" spans="1:12" x14ac:dyDescent="0.3">
      <c r="A91" t="s">
        <v>241</v>
      </c>
      <c r="B91" t="s">
        <v>242</v>
      </c>
      <c r="C91" s="2">
        <v>45743</v>
      </c>
      <c r="D91" t="s">
        <v>64</v>
      </c>
      <c r="E91" t="s">
        <v>86</v>
      </c>
      <c r="F91" t="s">
        <v>29</v>
      </c>
      <c r="G91" t="s">
        <v>96</v>
      </c>
      <c r="H91">
        <v>2</v>
      </c>
      <c r="I91">
        <v>6100</v>
      </c>
      <c r="J91" t="s">
        <v>35</v>
      </c>
      <c r="K91" t="s">
        <v>19</v>
      </c>
      <c r="L91" s="5">
        <f t="shared" si="1"/>
        <v>12200</v>
      </c>
    </row>
    <row r="92" spans="1:12" x14ac:dyDescent="0.3">
      <c r="A92" t="s">
        <v>243</v>
      </c>
      <c r="B92" t="s">
        <v>244</v>
      </c>
      <c r="C92" s="2">
        <v>45841</v>
      </c>
      <c r="D92" t="s">
        <v>46</v>
      </c>
      <c r="E92" t="s">
        <v>75</v>
      </c>
      <c r="F92" t="s">
        <v>59</v>
      </c>
      <c r="G92" t="s">
        <v>163</v>
      </c>
      <c r="H92">
        <v>2</v>
      </c>
      <c r="I92">
        <v>700</v>
      </c>
      <c r="J92" t="s">
        <v>41</v>
      </c>
      <c r="K92" t="s">
        <v>19</v>
      </c>
      <c r="L92" s="5">
        <f t="shared" si="1"/>
        <v>1400</v>
      </c>
    </row>
    <row r="93" spans="1:12" x14ac:dyDescent="0.3">
      <c r="A93" t="s">
        <v>245</v>
      </c>
      <c r="B93" t="s">
        <v>246</v>
      </c>
      <c r="C93" s="2">
        <v>45939</v>
      </c>
      <c r="D93" t="s">
        <v>33</v>
      </c>
      <c r="E93" t="s">
        <v>34</v>
      </c>
      <c r="F93" t="s">
        <v>29</v>
      </c>
      <c r="G93" t="s">
        <v>184</v>
      </c>
      <c r="H93">
        <v>2</v>
      </c>
      <c r="I93">
        <v>5900</v>
      </c>
      <c r="J93" t="s">
        <v>35</v>
      </c>
      <c r="K93" t="s">
        <v>19</v>
      </c>
      <c r="L93" s="5">
        <f t="shared" si="1"/>
        <v>11800</v>
      </c>
    </row>
    <row r="94" spans="1:12" x14ac:dyDescent="0.3">
      <c r="A94" t="s">
        <v>247</v>
      </c>
      <c r="B94" t="s">
        <v>248</v>
      </c>
      <c r="C94" s="2">
        <v>46020</v>
      </c>
      <c r="D94" t="s">
        <v>46</v>
      </c>
      <c r="E94" t="s">
        <v>47</v>
      </c>
      <c r="F94" t="s">
        <v>23</v>
      </c>
      <c r="G94" t="s">
        <v>137</v>
      </c>
      <c r="H94">
        <v>2</v>
      </c>
      <c r="I94">
        <v>59100</v>
      </c>
      <c r="J94" t="s">
        <v>41</v>
      </c>
      <c r="K94" t="s">
        <v>19</v>
      </c>
      <c r="L94" s="5">
        <f t="shared" si="1"/>
        <v>118200</v>
      </c>
    </row>
    <row r="95" spans="1:12" x14ac:dyDescent="0.3">
      <c r="A95" t="s">
        <v>249</v>
      </c>
      <c r="B95" t="s">
        <v>250</v>
      </c>
      <c r="C95" s="2">
        <v>45981</v>
      </c>
      <c r="D95" t="s">
        <v>14</v>
      </c>
      <c r="E95" t="s">
        <v>22</v>
      </c>
      <c r="F95" t="s">
        <v>23</v>
      </c>
      <c r="G95" t="s">
        <v>137</v>
      </c>
      <c r="H95">
        <v>1</v>
      </c>
      <c r="I95">
        <v>40000</v>
      </c>
      <c r="J95" t="s">
        <v>61</v>
      </c>
      <c r="K95" t="s">
        <v>69</v>
      </c>
      <c r="L95" s="5">
        <f t="shared" si="1"/>
        <v>40000</v>
      </c>
    </row>
    <row r="96" spans="1:12" x14ac:dyDescent="0.3">
      <c r="A96" t="s">
        <v>251</v>
      </c>
      <c r="B96" t="s">
        <v>252</v>
      </c>
      <c r="C96" s="2">
        <v>45954</v>
      </c>
      <c r="D96" t="s">
        <v>64</v>
      </c>
      <c r="E96" t="s">
        <v>86</v>
      </c>
      <c r="F96" t="s">
        <v>59</v>
      </c>
      <c r="G96" t="s">
        <v>163</v>
      </c>
      <c r="H96">
        <v>1</v>
      </c>
      <c r="I96">
        <v>3900</v>
      </c>
      <c r="J96" t="s">
        <v>18</v>
      </c>
      <c r="K96" t="s">
        <v>19</v>
      </c>
      <c r="L96" s="5">
        <f t="shared" si="1"/>
        <v>3900</v>
      </c>
    </row>
    <row r="97" spans="1:12" x14ac:dyDescent="0.3">
      <c r="A97" t="s">
        <v>253</v>
      </c>
      <c r="B97" t="s">
        <v>254</v>
      </c>
      <c r="C97" s="2">
        <v>45712</v>
      </c>
      <c r="D97" t="s">
        <v>14</v>
      </c>
      <c r="E97" t="s">
        <v>51</v>
      </c>
      <c r="F97" t="s">
        <v>39</v>
      </c>
      <c r="G97" t="s">
        <v>146</v>
      </c>
      <c r="H97">
        <v>1</v>
      </c>
      <c r="I97">
        <v>2050</v>
      </c>
      <c r="J97" t="s">
        <v>61</v>
      </c>
      <c r="K97" t="s">
        <v>19</v>
      </c>
      <c r="L97" s="5">
        <f t="shared" si="1"/>
        <v>2050</v>
      </c>
    </row>
    <row r="98" spans="1:12" x14ac:dyDescent="0.3">
      <c r="A98" t="s">
        <v>255</v>
      </c>
      <c r="B98" t="s">
        <v>256</v>
      </c>
      <c r="C98" s="2">
        <v>45901</v>
      </c>
      <c r="D98" t="s">
        <v>14</v>
      </c>
      <c r="E98" t="s">
        <v>51</v>
      </c>
      <c r="F98" t="s">
        <v>23</v>
      </c>
      <c r="G98" t="s">
        <v>137</v>
      </c>
      <c r="H98">
        <v>3</v>
      </c>
      <c r="I98">
        <v>22250</v>
      </c>
      <c r="J98" t="s">
        <v>18</v>
      </c>
      <c r="K98" t="s">
        <v>19</v>
      </c>
      <c r="L98" s="5">
        <f t="shared" si="1"/>
        <v>66750</v>
      </c>
    </row>
    <row r="99" spans="1:12" x14ac:dyDescent="0.3">
      <c r="A99" t="s">
        <v>257</v>
      </c>
      <c r="B99" t="s">
        <v>258</v>
      </c>
      <c r="C99" s="2">
        <v>45908</v>
      </c>
      <c r="D99" t="s">
        <v>46</v>
      </c>
      <c r="E99" t="s">
        <v>72</v>
      </c>
      <c r="F99" t="s">
        <v>29</v>
      </c>
      <c r="G99" t="s">
        <v>96</v>
      </c>
      <c r="H99">
        <v>2</v>
      </c>
      <c r="I99">
        <v>3050</v>
      </c>
      <c r="J99" t="s">
        <v>41</v>
      </c>
      <c r="K99" t="s">
        <v>19</v>
      </c>
      <c r="L99" s="5">
        <f t="shared" si="1"/>
        <v>6100</v>
      </c>
    </row>
    <row r="100" spans="1:12" x14ac:dyDescent="0.3">
      <c r="A100" t="s">
        <v>259</v>
      </c>
      <c r="B100" t="s">
        <v>260</v>
      </c>
      <c r="C100" s="2">
        <v>45813</v>
      </c>
      <c r="D100" t="s">
        <v>33</v>
      </c>
      <c r="E100" t="s">
        <v>38</v>
      </c>
      <c r="F100" t="s">
        <v>23</v>
      </c>
      <c r="G100" t="s">
        <v>56</v>
      </c>
      <c r="H100">
        <v>1</v>
      </c>
      <c r="I100">
        <v>2900</v>
      </c>
      <c r="J100" t="s">
        <v>35</v>
      </c>
      <c r="K100" t="s">
        <v>19</v>
      </c>
      <c r="L100" s="5">
        <f t="shared" si="1"/>
        <v>2900</v>
      </c>
    </row>
    <row r="101" spans="1:12" x14ac:dyDescent="0.3">
      <c r="A101" t="s">
        <v>261</v>
      </c>
      <c r="B101" t="s">
        <v>262</v>
      </c>
      <c r="C101" s="2">
        <v>45706</v>
      </c>
      <c r="D101" t="s">
        <v>14</v>
      </c>
      <c r="E101" t="s">
        <v>15</v>
      </c>
      <c r="F101" t="s">
        <v>23</v>
      </c>
      <c r="G101" t="s">
        <v>56</v>
      </c>
      <c r="H101">
        <v>2</v>
      </c>
      <c r="I101">
        <v>30200</v>
      </c>
      <c r="J101" t="s">
        <v>61</v>
      </c>
      <c r="K101" t="s">
        <v>19</v>
      </c>
      <c r="L101" s="5">
        <f t="shared" si="1"/>
        <v>60400</v>
      </c>
    </row>
    <row r="102" spans="1:12" x14ac:dyDescent="0.3">
      <c r="A102" t="s">
        <v>263</v>
      </c>
      <c r="B102" t="s">
        <v>264</v>
      </c>
      <c r="C102" s="2">
        <v>45943</v>
      </c>
      <c r="D102" t="s">
        <v>33</v>
      </c>
      <c r="E102" t="s">
        <v>68</v>
      </c>
      <c r="F102" t="s">
        <v>16</v>
      </c>
      <c r="G102" t="s">
        <v>17</v>
      </c>
      <c r="H102">
        <v>3</v>
      </c>
      <c r="I102">
        <v>2100</v>
      </c>
      <c r="J102" t="s">
        <v>18</v>
      </c>
      <c r="K102" t="s">
        <v>19</v>
      </c>
      <c r="L102" s="5">
        <f t="shared" si="1"/>
        <v>6300</v>
      </c>
    </row>
    <row r="103" spans="1:12" x14ac:dyDescent="0.3">
      <c r="A103" t="s">
        <v>265</v>
      </c>
      <c r="B103" t="s">
        <v>266</v>
      </c>
      <c r="C103" s="2">
        <v>45823</v>
      </c>
      <c r="D103" t="s">
        <v>14</v>
      </c>
      <c r="E103" t="s">
        <v>22</v>
      </c>
      <c r="F103" t="s">
        <v>39</v>
      </c>
      <c r="G103" t="s">
        <v>87</v>
      </c>
      <c r="H103">
        <v>2</v>
      </c>
      <c r="I103">
        <v>7300</v>
      </c>
      <c r="J103" t="s">
        <v>41</v>
      </c>
      <c r="K103" t="s">
        <v>19</v>
      </c>
      <c r="L103" s="5">
        <f t="shared" si="1"/>
        <v>14600</v>
      </c>
    </row>
    <row r="104" spans="1:12" x14ac:dyDescent="0.3">
      <c r="A104" t="s">
        <v>267</v>
      </c>
      <c r="B104" t="s">
        <v>268</v>
      </c>
      <c r="C104" s="2">
        <v>45744</v>
      </c>
      <c r="D104" t="s">
        <v>14</v>
      </c>
      <c r="E104" t="s">
        <v>51</v>
      </c>
      <c r="F104" t="s">
        <v>59</v>
      </c>
      <c r="G104" t="s">
        <v>228</v>
      </c>
      <c r="H104">
        <v>2</v>
      </c>
      <c r="I104">
        <v>550</v>
      </c>
      <c r="J104" t="s">
        <v>18</v>
      </c>
      <c r="K104" t="s">
        <v>69</v>
      </c>
      <c r="L104" s="5">
        <f t="shared" si="1"/>
        <v>1100</v>
      </c>
    </row>
    <row r="105" spans="1:12" x14ac:dyDescent="0.3">
      <c r="A105" t="s">
        <v>269</v>
      </c>
      <c r="B105" t="s">
        <v>270</v>
      </c>
      <c r="C105" s="2">
        <v>45711</v>
      </c>
      <c r="D105" t="s">
        <v>46</v>
      </c>
      <c r="E105" t="s">
        <v>55</v>
      </c>
      <c r="F105" t="s">
        <v>39</v>
      </c>
      <c r="G105" t="s">
        <v>40</v>
      </c>
      <c r="H105">
        <v>1</v>
      </c>
      <c r="I105">
        <v>750</v>
      </c>
      <c r="J105" t="s">
        <v>18</v>
      </c>
      <c r="K105" t="s">
        <v>19</v>
      </c>
      <c r="L105" s="5">
        <f t="shared" si="1"/>
        <v>750</v>
      </c>
    </row>
    <row r="106" spans="1:12" x14ac:dyDescent="0.3">
      <c r="A106" t="s">
        <v>271</v>
      </c>
      <c r="B106" t="s">
        <v>272</v>
      </c>
      <c r="C106" s="2">
        <v>45777</v>
      </c>
      <c r="D106" t="s">
        <v>14</v>
      </c>
      <c r="E106" t="s">
        <v>51</v>
      </c>
      <c r="F106" t="s">
        <v>16</v>
      </c>
      <c r="G106" t="s">
        <v>17</v>
      </c>
      <c r="H106">
        <v>2</v>
      </c>
      <c r="I106">
        <v>5100</v>
      </c>
      <c r="J106" t="s">
        <v>61</v>
      </c>
      <c r="K106" t="s">
        <v>25</v>
      </c>
      <c r="L106" s="5">
        <f t="shared" si="1"/>
        <v>10200</v>
      </c>
    </row>
    <row r="107" spans="1:12" x14ac:dyDescent="0.3">
      <c r="A107" t="s">
        <v>273</v>
      </c>
      <c r="B107" t="s">
        <v>274</v>
      </c>
      <c r="C107" s="2">
        <v>45818</v>
      </c>
      <c r="D107" t="s">
        <v>46</v>
      </c>
      <c r="E107" t="s">
        <v>47</v>
      </c>
      <c r="F107" t="s">
        <v>59</v>
      </c>
      <c r="G107" t="s">
        <v>228</v>
      </c>
      <c r="H107">
        <v>1</v>
      </c>
      <c r="I107">
        <v>1200</v>
      </c>
      <c r="J107" t="s">
        <v>61</v>
      </c>
      <c r="K107" t="s">
        <v>19</v>
      </c>
      <c r="L107" s="5">
        <f t="shared" si="1"/>
        <v>1200</v>
      </c>
    </row>
    <row r="108" spans="1:12" x14ac:dyDescent="0.3">
      <c r="A108" t="s">
        <v>275</v>
      </c>
      <c r="B108" t="s">
        <v>276</v>
      </c>
      <c r="C108" s="2">
        <v>45668</v>
      </c>
      <c r="D108" t="s">
        <v>14</v>
      </c>
      <c r="E108" t="s">
        <v>28</v>
      </c>
      <c r="F108" t="s">
        <v>23</v>
      </c>
      <c r="G108" t="s">
        <v>24</v>
      </c>
      <c r="H108">
        <v>1</v>
      </c>
      <c r="I108">
        <v>38200</v>
      </c>
      <c r="J108" t="s">
        <v>61</v>
      </c>
      <c r="K108" t="s">
        <v>127</v>
      </c>
      <c r="L108" s="5">
        <f t="shared" si="1"/>
        <v>38200</v>
      </c>
    </row>
    <row r="109" spans="1:12" x14ac:dyDescent="0.3">
      <c r="A109" t="s">
        <v>277</v>
      </c>
      <c r="B109" t="s">
        <v>278</v>
      </c>
      <c r="C109" s="2">
        <v>45710</v>
      </c>
      <c r="D109" t="s">
        <v>14</v>
      </c>
      <c r="E109" t="s">
        <v>28</v>
      </c>
      <c r="F109" t="s">
        <v>23</v>
      </c>
      <c r="G109" t="s">
        <v>193</v>
      </c>
      <c r="H109">
        <v>2</v>
      </c>
      <c r="I109">
        <v>17950</v>
      </c>
      <c r="J109" t="s">
        <v>41</v>
      </c>
      <c r="K109" t="s">
        <v>19</v>
      </c>
      <c r="L109" s="5">
        <f t="shared" si="1"/>
        <v>35900</v>
      </c>
    </row>
    <row r="110" spans="1:12" x14ac:dyDescent="0.3">
      <c r="A110" t="s">
        <v>279</v>
      </c>
      <c r="B110" t="s">
        <v>280</v>
      </c>
      <c r="C110" s="2">
        <v>45881</v>
      </c>
      <c r="D110" t="s">
        <v>46</v>
      </c>
      <c r="E110" t="s">
        <v>55</v>
      </c>
      <c r="F110" t="s">
        <v>16</v>
      </c>
      <c r="G110" t="s">
        <v>134</v>
      </c>
      <c r="H110">
        <v>3</v>
      </c>
      <c r="I110">
        <v>1500</v>
      </c>
      <c r="J110" t="s">
        <v>41</v>
      </c>
      <c r="K110" t="s">
        <v>69</v>
      </c>
      <c r="L110" s="5">
        <f t="shared" si="1"/>
        <v>4500</v>
      </c>
    </row>
    <row r="111" spans="1:12" x14ac:dyDescent="0.3">
      <c r="A111" t="s">
        <v>281</v>
      </c>
      <c r="B111" t="s">
        <v>162</v>
      </c>
      <c r="C111" s="2">
        <v>45661</v>
      </c>
      <c r="D111" t="s">
        <v>33</v>
      </c>
      <c r="E111" t="s">
        <v>80</v>
      </c>
      <c r="F111" t="s">
        <v>16</v>
      </c>
      <c r="G111" t="s">
        <v>81</v>
      </c>
      <c r="H111">
        <v>2</v>
      </c>
      <c r="I111">
        <v>5000</v>
      </c>
      <c r="J111" t="s">
        <v>18</v>
      </c>
      <c r="K111" t="s">
        <v>19</v>
      </c>
      <c r="L111" s="5">
        <f t="shared" si="1"/>
        <v>10000</v>
      </c>
    </row>
    <row r="112" spans="1:12" x14ac:dyDescent="0.3">
      <c r="A112" t="s">
        <v>282</v>
      </c>
      <c r="B112" t="s">
        <v>283</v>
      </c>
      <c r="C112" s="2">
        <v>45691</v>
      </c>
      <c r="D112" t="s">
        <v>14</v>
      </c>
      <c r="E112" t="s">
        <v>28</v>
      </c>
      <c r="F112" t="s">
        <v>23</v>
      </c>
      <c r="G112" t="s">
        <v>137</v>
      </c>
      <c r="H112">
        <v>3</v>
      </c>
      <c r="I112">
        <v>44650</v>
      </c>
      <c r="J112" t="s">
        <v>41</v>
      </c>
      <c r="K112" t="s">
        <v>127</v>
      </c>
      <c r="L112" s="5">
        <f t="shared" si="1"/>
        <v>133950</v>
      </c>
    </row>
    <row r="113" spans="1:12" x14ac:dyDescent="0.3">
      <c r="A113" t="s">
        <v>284</v>
      </c>
      <c r="B113" t="s">
        <v>285</v>
      </c>
      <c r="C113" s="2">
        <v>45876</v>
      </c>
      <c r="D113" t="s">
        <v>33</v>
      </c>
      <c r="E113" t="s">
        <v>34</v>
      </c>
      <c r="F113" t="s">
        <v>29</v>
      </c>
      <c r="G113" t="s">
        <v>100</v>
      </c>
      <c r="H113">
        <v>1</v>
      </c>
      <c r="I113">
        <v>1950</v>
      </c>
      <c r="J113" t="s">
        <v>18</v>
      </c>
      <c r="K113" t="s">
        <v>69</v>
      </c>
      <c r="L113" s="5">
        <f t="shared" si="1"/>
        <v>1950</v>
      </c>
    </row>
    <row r="114" spans="1:12" x14ac:dyDescent="0.3">
      <c r="A114" t="s">
        <v>286</v>
      </c>
      <c r="B114" t="s">
        <v>287</v>
      </c>
      <c r="C114" s="2">
        <v>45703</v>
      </c>
      <c r="D114" t="s">
        <v>64</v>
      </c>
      <c r="E114" t="s">
        <v>99</v>
      </c>
      <c r="F114" t="s">
        <v>29</v>
      </c>
      <c r="G114" t="s">
        <v>30</v>
      </c>
      <c r="H114">
        <v>4</v>
      </c>
      <c r="I114">
        <v>1750</v>
      </c>
      <c r="J114" t="s">
        <v>41</v>
      </c>
      <c r="K114" t="s">
        <v>19</v>
      </c>
      <c r="L114" s="5">
        <f t="shared" si="1"/>
        <v>7000</v>
      </c>
    </row>
    <row r="115" spans="1:12" x14ac:dyDescent="0.3">
      <c r="A115" t="s">
        <v>288</v>
      </c>
      <c r="B115" t="s">
        <v>252</v>
      </c>
      <c r="C115" s="2">
        <v>45668</v>
      </c>
      <c r="D115" t="s">
        <v>46</v>
      </c>
      <c r="E115" t="s">
        <v>75</v>
      </c>
      <c r="F115" t="s">
        <v>23</v>
      </c>
      <c r="G115" t="s">
        <v>140</v>
      </c>
      <c r="H115">
        <v>2</v>
      </c>
      <c r="I115">
        <v>6000</v>
      </c>
      <c r="J115" t="s">
        <v>18</v>
      </c>
      <c r="K115" t="s">
        <v>19</v>
      </c>
      <c r="L115" s="5">
        <f t="shared" si="1"/>
        <v>12000</v>
      </c>
    </row>
    <row r="116" spans="1:12" x14ac:dyDescent="0.3">
      <c r="A116" t="s">
        <v>289</v>
      </c>
      <c r="B116" t="s">
        <v>199</v>
      </c>
      <c r="C116" s="2">
        <v>45969</v>
      </c>
      <c r="D116" t="s">
        <v>64</v>
      </c>
      <c r="E116" t="s">
        <v>65</v>
      </c>
      <c r="F116" t="s">
        <v>16</v>
      </c>
      <c r="G116" t="s">
        <v>143</v>
      </c>
      <c r="H116">
        <v>1</v>
      </c>
      <c r="I116">
        <v>5200</v>
      </c>
      <c r="J116" t="s">
        <v>35</v>
      </c>
      <c r="K116" t="s">
        <v>69</v>
      </c>
      <c r="L116" s="5">
        <f t="shared" si="1"/>
        <v>5200</v>
      </c>
    </row>
    <row r="117" spans="1:12" x14ac:dyDescent="0.3">
      <c r="A117" t="s">
        <v>290</v>
      </c>
      <c r="B117" t="s">
        <v>291</v>
      </c>
      <c r="C117" s="2">
        <v>45811</v>
      </c>
      <c r="D117" t="s">
        <v>33</v>
      </c>
      <c r="E117" t="s">
        <v>68</v>
      </c>
      <c r="F117" t="s">
        <v>23</v>
      </c>
      <c r="G117" t="s">
        <v>140</v>
      </c>
      <c r="H117">
        <v>1</v>
      </c>
      <c r="I117">
        <v>38950</v>
      </c>
      <c r="J117" t="s">
        <v>41</v>
      </c>
      <c r="K117" t="s">
        <v>19</v>
      </c>
      <c r="L117" s="5">
        <f t="shared" si="1"/>
        <v>38950</v>
      </c>
    </row>
    <row r="118" spans="1:12" x14ac:dyDescent="0.3">
      <c r="A118" t="s">
        <v>292</v>
      </c>
      <c r="B118" t="s">
        <v>293</v>
      </c>
      <c r="C118" s="2">
        <v>45788</v>
      </c>
      <c r="D118" t="s">
        <v>14</v>
      </c>
      <c r="E118" t="s">
        <v>51</v>
      </c>
      <c r="F118" t="s">
        <v>16</v>
      </c>
      <c r="G118" t="s">
        <v>143</v>
      </c>
      <c r="H118">
        <v>2</v>
      </c>
      <c r="I118">
        <v>3850</v>
      </c>
      <c r="J118" t="s">
        <v>41</v>
      </c>
      <c r="K118" t="s">
        <v>19</v>
      </c>
      <c r="L118" s="5">
        <f t="shared" si="1"/>
        <v>7700</v>
      </c>
    </row>
    <row r="119" spans="1:12" x14ac:dyDescent="0.3">
      <c r="A119" t="s">
        <v>294</v>
      </c>
      <c r="B119" t="s">
        <v>295</v>
      </c>
      <c r="C119" s="2">
        <v>45674</v>
      </c>
      <c r="D119" t="s">
        <v>64</v>
      </c>
      <c r="E119" t="s">
        <v>86</v>
      </c>
      <c r="F119" t="s">
        <v>23</v>
      </c>
      <c r="G119" t="s">
        <v>140</v>
      </c>
      <c r="H119">
        <v>1</v>
      </c>
      <c r="I119">
        <v>1050</v>
      </c>
      <c r="J119" t="s">
        <v>18</v>
      </c>
      <c r="K119" t="s">
        <v>127</v>
      </c>
      <c r="L119" s="5">
        <f t="shared" si="1"/>
        <v>1050</v>
      </c>
    </row>
    <row r="120" spans="1:12" x14ac:dyDescent="0.3">
      <c r="A120" t="s">
        <v>296</v>
      </c>
      <c r="B120" t="s">
        <v>297</v>
      </c>
      <c r="C120" s="2">
        <v>45855</v>
      </c>
      <c r="D120" t="s">
        <v>14</v>
      </c>
      <c r="E120" t="s">
        <v>22</v>
      </c>
      <c r="F120" t="s">
        <v>39</v>
      </c>
      <c r="G120" t="s">
        <v>146</v>
      </c>
      <c r="H120">
        <v>2</v>
      </c>
      <c r="I120">
        <v>9600</v>
      </c>
      <c r="J120" t="s">
        <v>35</v>
      </c>
      <c r="K120" t="s">
        <v>19</v>
      </c>
      <c r="L120" s="5">
        <f t="shared" si="1"/>
        <v>19200</v>
      </c>
    </row>
    <row r="121" spans="1:12" x14ac:dyDescent="0.3">
      <c r="A121" t="s">
        <v>298</v>
      </c>
      <c r="B121" t="s">
        <v>299</v>
      </c>
      <c r="C121" s="2">
        <v>45856</v>
      </c>
      <c r="D121" t="s">
        <v>33</v>
      </c>
      <c r="E121" t="s">
        <v>68</v>
      </c>
      <c r="F121" t="s">
        <v>39</v>
      </c>
      <c r="G121" t="s">
        <v>40</v>
      </c>
      <c r="H121">
        <v>1</v>
      </c>
      <c r="I121">
        <v>7100</v>
      </c>
      <c r="J121" t="s">
        <v>35</v>
      </c>
      <c r="K121" t="s">
        <v>19</v>
      </c>
      <c r="L121" s="5">
        <f t="shared" si="1"/>
        <v>7100</v>
      </c>
    </row>
    <row r="122" spans="1:12" x14ac:dyDescent="0.3">
      <c r="A122" t="s">
        <v>300</v>
      </c>
      <c r="B122" t="s">
        <v>270</v>
      </c>
      <c r="C122" s="2">
        <v>45972</v>
      </c>
      <c r="D122" t="s">
        <v>33</v>
      </c>
      <c r="E122" t="s">
        <v>38</v>
      </c>
      <c r="F122" t="s">
        <v>39</v>
      </c>
      <c r="G122" t="s">
        <v>40</v>
      </c>
      <c r="H122">
        <v>1</v>
      </c>
      <c r="I122">
        <v>3450</v>
      </c>
      <c r="J122" t="s">
        <v>35</v>
      </c>
      <c r="K122" t="s">
        <v>19</v>
      </c>
      <c r="L122" s="5">
        <f t="shared" si="1"/>
        <v>3450</v>
      </c>
    </row>
    <row r="123" spans="1:12" x14ac:dyDescent="0.3">
      <c r="A123" t="s">
        <v>301</v>
      </c>
      <c r="B123" t="s">
        <v>302</v>
      </c>
      <c r="C123" s="2">
        <v>45809</v>
      </c>
      <c r="D123" t="s">
        <v>64</v>
      </c>
      <c r="E123" t="s">
        <v>65</v>
      </c>
      <c r="F123" t="s">
        <v>39</v>
      </c>
      <c r="G123" t="s">
        <v>40</v>
      </c>
      <c r="H123">
        <v>1</v>
      </c>
      <c r="I123">
        <v>8500</v>
      </c>
      <c r="J123" t="s">
        <v>61</v>
      </c>
      <c r="K123" t="s">
        <v>19</v>
      </c>
      <c r="L123" s="5">
        <f t="shared" si="1"/>
        <v>8500</v>
      </c>
    </row>
    <row r="124" spans="1:12" x14ac:dyDescent="0.3">
      <c r="A124" t="s">
        <v>303</v>
      </c>
      <c r="B124" t="s">
        <v>304</v>
      </c>
      <c r="C124" s="2">
        <v>45661</v>
      </c>
      <c r="D124" t="s">
        <v>33</v>
      </c>
      <c r="E124" t="s">
        <v>1690</v>
      </c>
      <c r="F124" t="s">
        <v>23</v>
      </c>
      <c r="G124" t="s">
        <v>140</v>
      </c>
      <c r="H124">
        <v>1</v>
      </c>
      <c r="I124">
        <v>45450</v>
      </c>
      <c r="J124" t="s">
        <v>35</v>
      </c>
      <c r="K124" t="s">
        <v>19</v>
      </c>
      <c r="L124" s="5">
        <f t="shared" si="1"/>
        <v>45450</v>
      </c>
    </row>
    <row r="125" spans="1:12" x14ac:dyDescent="0.3">
      <c r="A125" t="s">
        <v>303</v>
      </c>
      <c r="B125" t="s">
        <v>121</v>
      </c>
      <c r="C125" s="2">
        <v>45691</v>
      </c>
      <c r="D125" t="s">
        <v>64</v>
      </c>
      <c r="E125" t="s">
        <v>99</v>
      </c>
      <c r="F125" t="s">
        <v>59</v>
      </c>
      <c r="G125" t="s">
        <v>103</v>
      </c>
      <c r="H125">
        <v>2</v>
      </c>
      <c r="I125">
        <v>4450</v>
      </c>
      <c r="J125" t="s">
        <v>18</v>
      </c>
      <c r="K125" t="s">
        <v>19</v>
      </c>
      <c r="L125" s="5">
        <f t="shared" si="1"/>
        <v>8900</v>
      </c>
    </row>
    <row r="126" spans="1:12" x14ac:dyDescent="0.3">
      <c r="A126" t="s">
        <v>305</v>
      </c>
      <c r="B126" t="s">
        <v>131</v>
      </c>
      <c r="C126" s="2">
        <v>45902</v>
      </c>
      <c r="D126" t="s">
        <v>33</v>
      </c>
      <c r="E126" t="s">
        <v>34</v>
      </c>
      <c r="F126" t="s">
        <v>23</v>
      </c>
      <c r="G126" t="s">
        <v>137</v>
      </c>
      <c r="H126">
        <v>1</v>
      </c>
      <c r="I126">
        <v>60650</v>
      </c>
      <c r="J126" t="s">
        <v>18</v>
      </c>
      <c r="K126" t="s">
        <v>19</v>
      </c>
      <c r="L126" s="5">
        <f t="shared" si="1"/>
        <v>60650</v>
      </c>
    </row>
    <row r="127" spans="1:12" x14ac:dyDescent="0.3">
      <c r="A127" t="s">
        <v>305</v>
      </c>
      <c r="B127" t="s">
        <v>306</v>
      </c>
      <c r="C127" s="2">
        <v>45660</v>
      </c>
      <c r="D127" t="s">
        <v>46</v>
      </c>
      <c r="E127" t="s">
        <v>47</v>
      </c>
      <c r="F127" t="s">
        <v>16</v>
      </c>
      <c r="G127" t="s">
        <v>134</v>
      </c>
      <c r="H127">
        <v>1</v>
      </c>
      <c r="I127">
        <v>1050</v>
      </c>
      <c r="J127" t="s">
        <v>41</v>
      </c>
      <c r="K127" t="s">
        <v>19</v>
      </c>
      <c r="L127" s="5">
        <f t="shared" si="1"/>
        <v>1050</v>
      </c>
    </row>
    <row r="128" spans="1:12" x14ac:dyDescent="0.3">
      <c r="A128" t="s">
        <v>307</v>
      </c>
      <c r="B128" t="s">
        <v>308</v>
      </c>
      <c r="C128" s="2">
        <v>45962</v>
      </c>
      <c r="D128" t="s">
        <v>14</v>
      </c>
      <c r="E128" t="s">
        <v>22</v>
      </c>
      <c r="F128" t="s">
        <v>16</v>
      </c>
      <c r="G128" t="s">
        <v>48</v>
      </c>
      <c r="H128">
        <v>1</v>
      </c>
      <c r="I128">
        <v>5400</v>
      </c>
      <c r="J128" t="s">
        <v>61</v>
      </c>
      <c r="K128" t="s">
        <v>19</v>
      </c>
      <c r="L128" s="5">
        <f t="shared" si="1"/>
        <v>5400</v>
      </c>
    </row>
    <row r="129" spans="1:12" x14ac:dyDescent="0.3">
      <c r="A129" t="s">
        <v>309</v>
      </c>
      <c r="B129" t="s">
        <v>310</v>
      </c>
      <c r="C129" s="2">
        <v>45959</v>
      </c>
      <c r="D129" t="s">
        <v>14</v>
      </c>
      <c r="E129" t="s">
        <v>22</v>
      </c>
      <c r="F129" t="s">
        <v>16</v>
      </c>
      <c r="G129" t="s">
        <v>134</v>
      </c>
      <c r="H129">
        <v>1</v>
      </c>
      <c r="I129">
        <v>7250</v>
      </c>
      <c r="J129" t="s">
        <v>41</v>
      </c>
      <c r="K129" t="s">
        <v>25</v>
      </c>
      <c r="L129" s="5">
        <f t="shared" si="1"/>
        <v>7250</v>
      </c>
    </row>
    <row r="130" spans="1:12" x14ac:dyDescent="0.3">
      <c r="A130" t="s">
        <v>311</v>
      </c>
      <c r="B130" t="s">
        <v>312</v>
      </c>
      <c r="C130" s="2">
        <v>45900</v>
      </c>
      <c r="D130" t="s">
        <v>46</v>
      </c>
      <c r="E130" t="s">
        <v>72</v>
      </c>
      <c r="F130" t="s">
        <v>29</v>
      </c>
      <c r="G130" t="s">
        <v>184</v>
      </c>
      <c r="H130">
        <v>1</v>
      </c>
      <c r="I130">
        <v>7950</v>
      </c>
      <c r="J130" t="s">
        <v>115</v>
      </c>
      <c r="K130" t="s">
        <v>19</v>
      </c>
      <c r="L130" s="5">
        <f t="shared" si="1"/>
        <v>7950</v>
      </c>
    </row>
    <row r="131" spans="1:12" x14ac:dyDescent="0.3">
      <c r="A131" t="s">
        <v>313</v>
      </c>
      <c r="B131" t="s">
        <v>314</v>
      </c>
      <c r="C131" s="2">
        <v>45711</v>
      </c>
      <c r="D131" t="s">
        <v>14</v>
      </c>
      <c r="E131" t="s">
        <v>51</v>
      </c>
      <c r="F131" t="s">
        <v>29</v>
      </c>
      <c r="G131" t="s">
        <v>90</v>
      </c>
      <c r="H131">
        <v>1</v>
      </c>
      <c r="I131">
        <v>2100</v>
      </c>
      <c r="J131" t="s">
        <v>35</v>
      </c>
      <c r="K131" t="s">
        <v>19</v>
      </c>
      <c r="L131" s="5">
        <f t="shared" ref="L131:L194" si="2">H131*I131</f>
        <v>2100</v>
      </c>
    </row>
    <row r="132" spans="1:12" x14ac:dyDescent="0.3">
      <c r="A132" t="s">
        <v>315</v>
      </c>
      <c r="B132" t="s">
        <v>156</v>
      </c>
      <c r="C132" s="2">
        <v>45802</v>
      </c>
      <c r="D132" t="s">
        <v>33</v>
      </c>
      <c r="E132" t="s">
        <v>34</v>
      </c>
      <c r="F132" t="s">
        <v>39</v>
      </c>
      <c r="G132" t="s">
        <v>146</v>
      </c>
      <c r="H132">
        <v>1</v>
      </c>
      <c r="I132">
        <v>9950</v>
      </c>
      <c r="J132" t="s">
        <v>41</v>
      </c>
      <c r="K132" t="s">
        <v>19</v>
      </c>
      <c r="L132" s="5">
        <f t="shared" si="2"/>
        <v>9950</v>
      </c>
    </row>
    <row r="133" spans="1:12" x14ac:dyDescent="0.3">
      <c r="A133" t="s">
        <v>316</v>
      </c>
      <c r="B133" t="s">
        <v>317</v>
      </c>
      <c r="C133" s="2">
        <v>45762</v>
      </c>
      <c r="D133" t="s">
        <v>14</v>
      </c>
      <c r="E133" t="s">
        <v>15</v>
      </c>
      <c r="F133" t="s">
        <v>23</v>
      </c>
      <c r="G133" t="s">
        <v>24</v>
      </c>
      <c r="H133">
        <v>1</v>
      </c>
      <c r="I133">
        <v>48800</v>
      </c>
      <c r="J133" t="s">
        <v>61</v>
      </c>
      <c r="K133" t="s">
        <v>127</v>
      </c>
      <c r="L133" s="5">
        <f t="shared" si="2"/>
        <v>48800</v>
      </c>
    </row>
    <row r="134" spans="1:12" x14ac:dyDescent="0.3">
      <c r="A134" t="s">
        <v>318</v>
      </c>
      <c r="B134" t="s">
        <v>319</v>
      </c>
      <c r="C134" s="2">
        <v>45918</v>
      </c>
      <c r="D134" t="s">
        <v>14</v>
      </c>
      <c r="E134" t="s">
        <v>51</v>
      </c>
      <c r="F134" t="s">
        <v>16</v>
      </c>
      <c r="G134" t="s">
        <v>81</v>
      </c>
      <c r="H134">
        <v>3</v>
      </c>
      <c r="I134">
        <v>650</v>
      </c>
      <c r="J134" t="s">
        <v>18</v>
      </c>
      <c r="K134" t="s">
        <v>19</v>
      </c>
      <c r="L134" s="5">
        <f t="shared" si="2"/>
        <v>1950</v>
      </c>
    </row>
    <row r="135" spans="1:12" x14ac:dyDescent="0.3">
      <c r="A135" t="s">
        <v>320</v>
      </c>
      <c r="B135" t="s">
        <v>321</v>
      </c>
      <c r="C135" s="2">
        <v>45973</v>
      </c>
      <c r="D135" t="s">
        <v>33</v>
      </c>
      <c r="E135" t="s">
        <v>68</v>
      </c>
      <c r="F135" t="s">
        <v>59</v>
      </c>
      <c r="G135" t="s">
        <v>322</v>
      </c>
      <c r="H135">
        <v>2</v>
      </c>
      <c r="I135">
        <v>200</v>
      </c>
      <c r="J135" t="s">
        <v>18</v>
      </c>
      <c r="K135" t="s">
        <v>19</v>
      </c>
      <c r="L135" s="5">
        <f t="shared" si="2"/>
        <v>400</v>
      </c>
    </row>
    <row r="136" spans="1:12" x14ac:dyDescent="0.3">
      <c r="A136" t="s">
        <v>323</v>
      </c>
      <c r="B136" t="s">
        <v>324</v>
      </c>
      <c r="C136" s="2">
        <v>45713</v>
      </c>
      <c r="D136" t="s">
        <v>14</v>
      </c>
      <c r="E136" t="s">
        <v>51</v>
      </c>
      <c r="F136" t="s">
        <v>23</v>
      </c>
      <c r="G136" t="s">
        <v>140</v>
      </c>
      <c r="H136">
        <v>3</v>
      </c>
      <c r="I136">
        <v>4650</v>
      </c>
      <c r="J136" t="s">
        <v>41</v>
      </c>
      <c r="K136" t="s">
        <v>69</v>
      </c>
      <c r="L136" s="5">
        <f t="shared" si="2"/>
        <v>13950</v>
      </c>
    </row>
    <row r="137" spans="1:12" x14ac:dyDescent="0.3">
      <c r="A137" t="s">
        <v>325</v>
      </c>
      <c r="B137" t="s">
        <v>326</v>
      </c>
      <c r="C137" s="2">
        <v>45961</v>
      </c>
      <c r="D137" t="s">
        <v>46</v>
      </c>
      <c r="E137" t="s">
        <v>75</v>
      </c>
      <c r="F137" t="s">
        <v>29</v>
      </c>
      <c r="G137" t="s">
        <v>96</v>
      </c>
      <c r="H137">
        <v>3</v>
      </c>
      <c r="I137">
        <v>7100</v>
      </c>
      <c r="J137" t="s">
        <v>35</v>
      </c>
      <c r="K137" t="s">
        <v>127</v>
      </c>
      <c r="L137" s="5">
        <f t="shared" si="2"/>
        <v>21300</v>
      </c>
    </row>
    <row r="138" spans="1:12" x14ac:dyDescent="0.3">
      <c r="A138" t="s">
        <v>327</v>
      </c>
      <c r="B138" t="s">
        <v>162</v>
      </c>
      <c r="C138" s="2">
        <v>45702</v>
      </c>
      <c r="D138" t="s">
        <v>14</v>
      </c>
      <c r="E138" t="s">
        <v>51</v>
      </c>
      <c r="F138" t="s">
        <v>59</v>
      </c>
      <c r="G138" t="s">
        <v>60</v>
      </c>
      <c r="H138">
        <v>2</v>
      </c>
      <c r="I138">
        <v>3450</v>
      </c>
      <c r="J138" t="s">
        <v>35</v>
      </c>
      <c r="K138" t="s">
        <v>19</v>
      </c>
      <c r="L138" s="5">
        <f t="shared" si="2"/>
        <v>6900</v>
      </c>
    </row>
    <row r="139" spans="1:12" x14ac:dyDescent="0.3">
      <c r="A139" t="s">
        <v>328</v>
      </c>
      <c r="B139" t="s">
        <v>250</v>
      </c>
      <c r="C139" s="2">
        <v>45915</v>
      </c>
      <c r="D139" t="s">
        <v>46</v>
      </c>
      <c r="E139" t="s">
        <v>47</v>
      </c>
      <c r="F139" t="s">
        <v>39</v>
      </c>
      <c r="G139" t="s">
        <v>87</v>
      </c>
      <c r="H139">
        <v>1</v>
      </c>
      <c r="I139">
        <v>1700</v>
      </c>
      <c r="J139" t="s">
        <v>35</v>
      </c>
      <c r="K139" t="s">
        <v>19</v>
      </c>
      <c r="L139" s="5">
        <f t="shared" si="2"/>
        <v>1700</v>
      </c>
    </row>
    <row r="140" spans="1:12" x14ac:dyDescent="0.3">
      <c r="A140" t="s">
        <v>329</v>
      </c>
      <c r="B140" t="s">
        <v>142</v>
      </c>
      <c r="C140" s="2">
        <v>46011</v>
      </c>
      <c r="D140" t="s">
        <v>14</v>
      </c>
      <c r="E140" t="s">
        <v>22</v>
      </c>
      <c r="F140" t="s">
        <v>39</v>
      </c>
      <c r="G140" t="s">
        <v>52</v>
      </c>
      <c r="H140">
        <v>2</v>
      </c>
      <c r="I140">
        <v>3250</v>
      </c>
      <c r="J140" t="s">
        <v>115</v>
      </c>
      <c r="K140" t="s">
        <v>19</v>
      </c>
      <c r="L140" s="5">
        <f t="shared" si="2"/>
        <v>6500</v>
      </c>
    </row>
    <row r="141" spans="1:12" x14ac:dyDescent="0.3">
      <c r="A141" t="s">
        <v>330</v>
      </c>
      <c r="B141" t="s">
        <v>331</v>
      </c>
      <c r="C141" s="2">
        <v>45717</v>
      </c>
      <c r="D141" t="s">
        <v>64</v>
      </c>
      <c r="E141" t="s">
        <v>86</v>
      </c>
      <c r="F141" t="s">
        <v>29</v>
      </c>
      <c r="G141" t="s">
        <v>184</v>
      </c>
      <c r="H141">
        <v>1</v>
      </c>
      <c r="I141">
        <v>2550</v>
      </c>
      <c r="J141" t="s">
        <v>41</v>
      </c>
      <c r="K141" t="s">
        <v>127</v>
      </c>
      <c r="L141" s="5">
        <f t="shared" si="2"/>
        <v>2550</v>
      </c>
    </row>
    <row r="142" spans="1:12" x14ac:dyDescent="0.3">
      <c r="A142" t="s">
        <v>332</v>
      </c>
      <c r="B142" t="s">
        <v>205</v>
      </c>
      <c r="C142" s="2">
        <v>45850</v>
      </c>
      <c r="D142" t="s">
        <v>14</v>
      </c>
      <c r="E142" t="s">
        <v>15</v>
      </c>
      <c r="F142" t="s">
        <v>23</v>
      </c>
      <c r="G142" t="s">
        <v>137</v>
      </c>
      <c r="H142">
        <v>3</v>
      </c>
      <c r="I142">
        <v>11850</v>
      </c>
      <c r="J142" t="s">
        <v>115</v>
      </c>
      <c r="K142" t="s">
        <v>19</v>
      </c>
      <c r="L142" s="5">
        <f t="shared" si="2"/>
        <v>35550</v>
      </c>
    </row>
    <row r="143" spans="1:12" x14ac:dyDescent="0.3">
      <c r="A143" t="s">
        <v>333</v>
      </c>
      <c r="B143" t="s">
        <v>334</v>
      </c>
      <c r="C143" s="2">
        <v>45664</v>
      </c>
      <c r="D143" t="s">
        <v>46</v>
      </c>
      <c r="E143" t="s">
        <v>47</v>
      </c>
      <c r="F143" t="s">
        <v>23</v>
      </c>
      <c r="G143" t="s">
        <v>24</v>
      </c>
      <c r="H143">
        <v>4</v>
      </c>
      <c r="I143">
        <v>63300</v>
      </c>
      <c r="J143" t="s">
        <v>35</v>
      </c>
      <c r="K143" t="s">
        <v>19</v>
      </c>
      <c r="L143" s="5">
        <f t="shared" si="2"/>
        <v>253200</v>
      </c>
    </row>
    <row r="144" spans="1:12" x14ac:dyDescent="0.3">
      <c r="A144" t="s">
        <v>335</v>
      </c>
      <c r="B144" t="s">
        <v>278</v>
      </c>
      <c r="C144" s="2">
        <v>45942</v>
      </c>
      <c r="D144" t="s">
        <v>14</v>
      </c>
      <c r="E144" t="s">
        <v>28</v>
      </c>
      <c r="F144" t="s">
        <v>23</v>
      </c>
      <c r="G144" t="s">
        <v>56</v>
      </c>
      <c r="H144">
        <v>1</v>
      </c>
      <c r="I144">
        <v>53350</v>
      </c>
      <c r="J144" t="s">
        <v>18</v>
      </c>
      <c r="K144" t="s">
        <v>19</v>
      </c>
      <c r="L144" s="5">
        <f t="shared" si="2"/>
        <v>53350</v>
      </c>
    </row>
    <row r="145" spans="1:12" x14ac:dyDescent="0.3">
      <c r="A145" t="s">
        <v>336</v>
      </c>
      <c r="B145" t="s">
        <v>337</v>
      </c>
      <c r="C145" s="2">
        <v>45741</v>
      </c>
      <c r="D145" t="s">
        <v>33</v>
      </c>
      <c r="E145" t="s">
        <v>68</v>
      </c>
      <c r="F145" t="s">
        <v>39</v>
      </c>
      <c r="G145" t="s">
        <v>87</v>
      </c>
      <c r="H145">
        <v>3</v>
      </c>
      <c r="I145">
        <v>5500</v>
      </c>
      <c r="J145" t="s">
        <v>18</v>
      </c>
      <c r="K145" t="s">
        <v>127</v>
      </c>
      <c r="L145" s="5">
        <f t="shared" si="2"/>
        <v>16500</v>
      </c>
    </row>
    <row r="146" spans="1:12" x14ac:dyDescent="0.3">
      <c r="A146" t="s">
        <v>338</v>
      </c>
      <c r="B146" t="s">
        <v>339</v>
      </c>
      <c r="C146" s="2">
        <v>45741</v>
      </c>
      <c r="D146" t="s">
        <v>46</v>
      </c>
      <c r="E146" t="s">
        <v>47</v>
      </c>
      <c r="F146" t="s">
        <v>29</v>
      </c>
      <c r="G146" t="s">
        <v>96</v>
      </c>
      <c r="H146">
        <v>1</v>
      </c>
      <c r="I146">
        <v>1550</v>
      </c>
      <c r="J146" t="s">
        <v>115</v>
      </c>
      <c r="K146" t="s">
        <v>19</v>
      </c>
      <c r="L146" s="5">
        <f t="shared" si="2"/>
        <v>1550</v>
      </c>
    </row>
    <row r="147" spans="1:12" x14ac:dyDescent="0.3">
      <c r="A147" t="s">
        <v>340</v>
      </c>
      <c r="B147" t="s">
        <v>341</v>
      </c>
      <c r="C147" s="2">
        <v>45938</v>
      </c>
      <c r="D147" t="s">
        <v>33</v>
      </c>
      <c r="E147" t="s">
        <v>68</v>
      </c>
      <c r="F147" t="s">
        <v>16</v>
      </c>
      <c r="G147" t="s">
        <v>143</v>
      </c>
      <c r="H147">
        <v>3</v>
      </c>
      <c r="I147">
        <v>3850</v>
      </c>
      <c r="J147" t="s">
        <v>18</v>
      </c>
      <c r="K147" t="s">
        <v>19</v>
      </c>
      <c r="L147" s="5">
        <f t="shared" si="2"/>
        <v>11550</v>
      </c>
    </row>
    <row r="148" spans="1:12" x14ac:dyDescent="0.3">
      <c r="A148" t="s">
        <v>342</v>
      </c>
      <c r="B148" t="s">
        <v>343</v>
      </c>
      <c r="C148" s="2">
        <v>45736</v>
      </c>
      <c r="D148" t="s">
        <v>46</v>
      </c>
      <c r="E148" t="s">
        <v>55</v>
      </c>
      <c r="F148" t="s">
        <v>59</v>
      </c>
      <c r="G148" t="s">
        <v>322</v>
      </c>
      <c r="H148">
        <v>1</v>
      </c>
      <c r="I148">
        <v>2800</v>
      </c>
      <c r="J148" t="s">
        <v>18</v>
      </c>
      <c r="K148" t="s">
        <v>19</v>
      </c>
      <c r="L148" s="5">
        <f t="shared" si="2"/>
        <v>2800</v>
      </c>
    </row>
    <row r="149" spans="1:12" x14ac:dyDescent="0.3">
      <c r="A149" t="s">
        <v>344</v>
      </c>
      <c r="B149" t="s">
        <v>276</v>
      </c>
      <c r="C149" s="2">
        <v>45703</v>
      </c>
      <c r="D149" t="s">
        <v>64</v>
      </c>
      <c r="E149" t="s">
        <v>93</v>
      </c>
      <c r="F149" t="s">
        <v>16</v>
      </c>
      <c r="G149" t="s">
        <v>48</v>
      </c>
      <c r="H149">
        <v>1</v>
      </c>
      <c r="I149">
        <v>7200</v>
      </c>
      <c r="J149" t="s">
        <v>61</v>
      </c>
      <c r="K149" t="s">
        <v>25</v>
      </c>
      <c r="L149" s="5">
        <f t="shared" si="2"/>
        <v>7200</v>
      </c>
    </row>
    <row r="150" spans="1:12" x14ac:dyDescent="0.3">
      <c r="A150" t="s">
        <v>345</v>
      </c>
      <c r="B150" t="s">
        <v>346</v>
      </c>
      <c r="C150" s="2">
        <v>46001</v>
      </c>
      <c r="D150" t="s">
        <v>64</v>
      </c>
      <c r="E150" t="s">
        <v>65</v>
      </c>
      <c r="F150" t="s">
        <v>16</v>
      </c>
      <c r="G150" t="s">
        <v>143</v>
      </c>
      <c r="H150">
        <v>1</v>
      </c>
      <c r="I150">
        <v>4000</v>
      </c>
      <c r="J150" t="s">
        <v>41</v>
      </c>
      <c r="K150" t="s">
        <v>19</v>
      </c>
      <c r="L150" s="5">
        <f t="shared" si="2"/>
        <v>4000</v>
      </c>
    </row>
    <row r="151" spans="1:12" x14ac:dyDescent="0.3">
      <c r="A151" t="s">
        <v>347</v>
      </c>
      <c r="B151" t="s">
        <v>348</v>
      </c>
      <c r="C151" s="2">
        <v>45668</v>
      </c>
      <c r="D151" t="s">
        <v>14</v>
      </c>
      <c r="E151" t="s">
        <v>51</v>
      </c>
      <c r="F151" t="s">
        <v>16</v>
      </c>
      <c r="G151" t="s">
        <v>17</v>
      </c>
      <c r="H151">
        <v>1</v>
      </c>
      <c r="I151">
        <v>900</v>
      </c>
      <c r="J151" t="s">
        <v>41</v>
      </c>
      <c r="K151" t="s">
        <v>19</v>
      </c>
      <c r="L151" s="5">
        <f t="shared" si="2"/>
        <v>900</v>
      </c>
    </row>
    <row r="152" spans="1:12" x14ac:dyDescent="0.3">
      <c r="A152" t="s">
        <v>349</v>
      </c>
      <c r="B152" t="s">
        <v>350</v>
      </c>
      <c r="C152" s="2">
        <v>45703</v>
      </c>
      <c r="D152" t="s">
        <v>46</v>
      </c>
      <c r="E152" t="s">
        <v>75</v>
      </c>
      <c r="F152" t="s">
        <v>29</v>
      </c>
      <c r="G152" t="s">
        <v>100</v>
      </c>
      <c r="H152">
        <v>2</v>
      </c>
      <c r="I152">
        <v>700</v>
      </c>
      <c r="J152" t="s">
        <v>18</v>
      </c>
      <c r="K152" t="s">
        <v>19</v>
      </c>
      <c r="L152" s="5">
        <f t="shared" si="2"/>
        <v>1400</v>
      </c>
    </row>
    <row r="153" spans="1:12" x14ac:dyDescent="0.3">
      <c r="A153" t="s">
        <v>351</v>
      </c>
      <c r="B153" t="s">
        <v>352</v>
      </c>
      <c r="C153" s="2">
        <v>45734</v>
      </c>
      <c r="D153" t="s">
        <v>64</v>
      </c>
      <c r="E153" t="s">
        <v>86</v>
      </c>
      <c r="F153" t="s">
        <v>23</v>
      </c>
      <c r="G153" t="s">
        <v>140</v>
      </c>
      <c r="H153">
        <v>4</v>
      </c>
      <c r="I153">
        <v>50600</v>
      </c>
      <c r="J153" t="s">
        <v>18</v>
      </c>
      <c r="K153" t="s">
        <v>19</v>
      </c>
      <c r="L153" s="5">
        <f t="shared" si="2"/>
        <v>202400</v>
      </c>
    </row>
    <row r="154" spans="1:12" x14ac:dyDescent="0.3">
      <c r="A154" t="s">
        <v>353</v>
      </c>
      <c r="B154" t="s">
        <v>295</v>
      </c>
      <c r="C154" s="2">
        <v>46017</v>
      </c>
      <c r="D154" t="s">
        <v>46</v>
      </c>
      <c r="E154" t="s">
        <v>47</v>
      </c>
      <c r="F154" t="s">
        <v>23</v>
      </c>
      <c r="G154" t="s">
        <v>193</v>
      </c>
      <c r="H154">
        <v>3</v>
      </c>
      <c r="I154">
        <v>45050</v>
      </c>
      <c r="J154" t="s">
        <v>18</v>
      </c>
      <c r="K154" t="s">
        <v>19</v>
      </c>
      <c r="L154" s="5">
        <f t="shared" si="2"/>
        <v>135150</v>
      </c>
    </row>
    <row r="155" spans="1:12" x14ac:dyDescent="0.3">
      <c r="A155" t="s">
        <v>354</v>
      </c>
      <c r="B155" t="s">
        <v>37</v>
      </c>
      <c r="C155" s="2">
        <v>45985</v>
      </c>
      <c r="D155" t="s">
        <v>46</v>
      </c>
      <c r="E155" t="s">
        <v>75</v>
      </c>
      <c r="F155" t="s">
        <v>29</v>
      </c>
      <c r="G155" t="s">
        <v>96</v>
      </c>
      <c r="H155">
        <v>1</v>
      </c>
      <c r="I155">
        <v>7500</v>
      </c>
      <c r="J155" t="s">
        <v>41</v>
      </c>
      <c r="K155" t="s">
        <v>19</v>
      </c>
      <c r="L155" s="5">
        <f t="shared" si="2"/>
        <v>7500</v>
      </c>
    </row>
    <row r="156" spans="1:12" x14ac:dyDescent="0.3">
      <c r="A156" t="s">
        <v>355</v>
      </c>
      <c r="B156" t="s">
        <v>356</v>
      </c>
      <c r="C156" s="2">
        <v>45660</v>
      </c>
      <c r="D156" t="s">
        <v>14</v>
      </c>
      <c r="E156" t="s">
        <v>28</v>
      </c>
      <c r="F156" t="s">
        <v>59</v>
      </c>
      <c r="G156" t="s">
        <v>228</v>
      </c>
      <c r="H156">
        <v>2</v>
      </c>
      <c r="I156">
        <v>2550</v>
      </c>
      <c r="J156" t="s">
        <v>41</v>
      </c>
      <c r="K156" t="s">
        <v>19</v>
      </c>
      <c r="L156" s="5">
        <f t="shared" si="2"/>
        <v>5100</v>
      </c>
    </row>
    <row r="157" spans="1:12" x14ac:dyDescent="0.3">
      <c r="A157" t="s">
        <v>357</v>
      </c>
      <c r="B157" t="s">
        <v>221</v>
      </c>
      <c r="C157" s="2">
        <v>45779</v>
      </c>
      <c r="D157" t="s">
        <v>64</v>
      </c>
      <c r="E157" t="s">
        <v>93</v>
      </c>
      <c r="F157" t="s">
        <v>23</v>
      </c>
      <c r="G157" t="s">
        <v>140</v>
      </c>
      <c r="H157">
        <v>2</v>
      </c>
      <c r="I157">
        <v>47300</v>
      </c>
      <c r="J157" t="s">
        <v>35</v>
      </c>
      <c r="K157" t="s">
        <v>19</v>
      </c>
      <c r="L157" s="5">
        <f t="shared" si="2"/>
        <v>94600</v>
      </c>
    </row>
    <row r="158" spans="1:12" x14ac:dyDescent="0.3">
      <c r="A158" t="s">
        <v>358</v>
      </c>
      <c r="B158" t="s">
        <v>359</v>
      </c>
      <c r="C158" s="2">
        <v>45868</v>
      </c>
      <c r="D158" t="s">
        <v>64</v>
      </c>
      <c r="E158" t="s">
        <v>99</v>
      </c>
      <c r="F158" t="s">
        <v>16</v>
      </c>
      <c r="G158" t="s">
        <v>134</v>
      </c>
      <c r="H158">
        <v>2</v>
      </c>
      <c r="I158">
        <v>7150</v>
      </c>
      <c r="J158" t="s">
        <v>41</v>
      </c>
      <c r="K158" t="s">
        <v>19</v>
      </c>
      <c r="L158" s="5">
        <f t="shared" si="2"/>
        <v>14300</v>
      </c>
    </row>
    <row r="159" spans="1:12" x14ac:dyDescent="0.3">
      <c r="A159" t="s">
        <v>360</v>
      </c>
      <c r="B159" t="s">
        <v>361</v>
      </c>
      <c r="C159" s="2">
        <v>45989</v>
      </c>
      <c r="D159" t="s">
        <v>33</v>
      </c>
      <c r="E159" t="s">
        <v>34</v>
      </c>
      <c r="F159" t="s">
        <v>23</v>
      </c>
      <c r="G159" t="s">
        <v>56</v>
      </c>
      <c r="H159">
        <v>2</v>
      </c>
      <c r="I159">
        <v>13550</v>
      </c>
      <c r="J159" t="s">
        <v>18</v>
      </c>
      <c r="K159" t="s">
        <v>19</v>
      </c>
      <c r="L159" s="5">
        <f t="shared" si="2"/>
        <v>27100</v>
      </c>
    </row>
    <row r="160" spans="1:12" x14ac:dyDescent="0.3">
      <c r="A160" t="s">
        <v>362</v>
      </c>
      <c r="B160" t="s">
        <v>363</v>
      </c>
      <c r="C160" s="2">
        <v>45809</v>
      </c>
      <c r="D160" t="s">
        <v>64</v>
      </c>
      <c r="E160" t="s">
        <v>99</v>
      </c>
      <c r="F160" t="s">
        <v>23</v>
      </c>
      <c r="G160" t="s">
        <v>137</v>
      </c>
      <c r="H160">
        <v>2</v>
      </c>
      <c r="I160">
        <v>55100</v>
      </c>
      <c r="J160" t="s">
        <v>35</v>
      </c>
      <c r="K160" t="s">
        <v>19</v>
      </c>
      <c r="L160" s="5">
        <f t="shared" si="2"/>
        <v>110200</v>
      </c>
    </row>
    <row r="161" spans="1:12" x14ac:dyDescent="0.3">
      <c r="A161" t="s">
        <v>364</v>
      </c>
      <c r="B161" t="s">
        <v>365</v>
      </c>
      <c r="C161" s="2">
        <v>45919</v>
      </c>
      <c r="D161" t="s">
        <v>33</v>
      </c>
      <c r="E161" t="s">
        <v>34</v>
      </c>
      <c r="F161" t="s">
        <v>29</v>
      </c>
      <c r="G161" t="s">
        <v>96</v>
      </c>
      <c r="H161">
        <v>1</v>
      </c>
      <c r="I161">
        <v>600</v>
      </c>
      <c r="J161" t="s">
        <v>35</v>
      </c>
      <c r="K161" t="s">
        <v>19</v>
      </c>
      <c r="L161" s="5">
        <f t="shared" si="2"/>
        <v>600</v>
      </c>
    </row>
    <row r="162" spans="1:12" x14ac:dyDescent="0.3">
      <c r="A162" t="s">
        <v>366</v>
      </c>
      <c r="B162" t="s">
        <v>367</v>
      </c>
      <c r="C162" s="2">
        <v>46012</v>
      </c>
      <c r="D162" t="s">
        <v>64</v>
      </c>
      <c r="E162" t="s">
        <v>86</v>
      </c>
      <c r="F162" t="s">
        <v>29</v>
      </c>
      <c r="G162" t="s">
        <v>96</v>
      </c>
      <c r="H162">
        <v>1</v>
      </c>
      <c r="I162">
        <v>3150</v>
      </c>
      <c r="J162" t="s">
        <v>41</v>
      </c>
      <c r="K162" t="s">
        <v>127</v>
      </c>
      <c r="L162" s="5">
        <f t="shared" si="2"/>
        <v>3150</v>
      </c>
    </row>
    <row r="163" spans="1:12" x14ac:dyDescent="0.3">
      <c r="A163" t="s">
        <v>368</v>
      </c>
      <c r="B163" t="s">
        <v>105</v>
      </c>
      <c r="C163" s="2">
        <v>45698</v>
      </c>
      <c r="D163" t="s">
        <v>46</v>
      </c>
      <c r="E163" t="s">
        <v>72</v>
      </c>
      <c r="F163" t="s">
        <v>59</v>
      </c>
      <c r="G163" t="s">
        <v>228</v>
      </c>
      <c r="H163">
        <v>1</v>
      </c>
      <c r="I163">
        <v>3250</v>
      </c>
      <c r="J163" t="s">
        <v>41</v>
      </c>
      <c r="K163" t="s">
        <v>19</v>
      </c>
      <c r="L163" s="5">
        <f t="shared" si="2"/>
        <v>3250</v>
      </c>
    </row>
    <row r="164" spans="1:12" x14ac:dyDescent="0.3">
      <c r="A164" t="s">
        <v>369</v>
      </c>
      <c r="B164" t="s">
        <v>370</v>
      </c>
      <c r="C164" s="2">
        <v>46002</v>
      </c>
      <c r="D164" t="s">
        <v>33</v>
      </c>
      <c r="E164" t="s">
        <v>38</v>
      </c>
      <c r="F164" t="s">
        <v>23</v>
      </c>
      <c r="G164" t="s">
        <v>140</v>
      </c>
      <c r="H164">
        <v>1</v>
      </c>
      <c r="I164">
        <v>33800</v>
      </c>
      <c r="J164" t="s">
        <v>41</v>
      </c>
      <c r="K164" t="s">
        <v>19</v>
      </c>
      <c r="L164" s="5">
        <f t="shared" si="2"/>
        <v>33800</v>
      </c>
    </row>
    <row r="165" spans="1:12" x14ac:dyDescent="0.3">
      <c r="A165" t="s">
        <v>371</v>
      </c>
      <c r="B165" t="s">
        <v>372</v>
      </c>
      <c r="C165" s="2">
        <v>45944</v>
      </c>
      <c r="D165" t="s">
        <v>46</v>
      </c>
      <c r="E165" t="s">
        <v>75</v>
      </c>
      <c r="F165" t="s">
        <v>39</v>
      </c>
      <c r="G165" t="s">
        <v>40</v>
      </c>
      <c r="H165">
        <v>3</v>
      </c>
      <c r="I165">
        <v>3600</v>
      </c>
      <c r="J165" t="s">
        <v>18</v>
      </c>
      <c r="K165" t="s">
        <v>25</v>
      </c>
      <c r="L165" s="5">
        <f t="shared" si="2"/>
        <v>10800</v>
      </c>
    </row>
    <row r="166" spans="1:12" x14ac:dyDescent="0.3">
      <c r="A166" t="s">
        <v>373</v>
      </c>
      <c r="B166" t="s">
        <v>374</v>
      </c>
      <c r="C166" s="2">
        <v>45921</v>
      </c>
      <c r="D166" t="s">
        <v>33</v>
      </c>
      <c r="E166" t="s">
        <v>34</v>
      </c>
      <c r="F166" t="s">
        <v>23</v>
      </c>
      <c r="G166" t="s">
        <v>24</v>
      </c>
      <c r="H166">
        <v>1</v>
      </c>
      <c r="I166">
        <v>34100</v>
      </c>
      <c r="J166" t="s">
        <v>61</v>
      </c>
      <c r="K166" t="s">
        <v>19</v>
      </c>
      <c r="L166" s="5">
        <f t="shared" si="2"/>
        <v>34100</v>
      </c>
    </row>
    <row r="167" spans="1:12" x14ac:dyDescent="0.3">
      <c r="A167" t="s">
        <v>375</v>
      </c>
      <c r="B167" t="s">
        <v>236</v>
      </c>
      <c r="C167" s="2">
        <v>45962</v>
      </c>
      <c r="D167" t="s">
        <v>14</v>
      </c>
      <c r="E167" t="s">
        <v>22</v>
      </c>
      <c r="F167" t="s">
        <v>29</v>
      </c>
      <c r="G167" t="s">
        <v>100</v>
      </c>
      <c r="H167">
        <v>1</v>
      </c>
      <c r="I167">
        <v>1650</v>
      </c>
      <c r="J167" t="s">
        <v>35</v>
      </c>
      <c r="K167" t="s">
        <v>19</v>
      </c>
      <c r="L167" s="5">
        <f t="shared" si="2"/>
        <v>1650</v>
      </c>
    </row>
    <row r="168" spans="1:12" x14ac:dyDescent="0.3">
      <c r="A168" t="s">
        <v>376</v>
      </c>
      <c r="B168" t="s">
        <v>377</v>
      </c>
      <c r="C168" s="2">
        <v>45950</v>
      </c>
      <c r="D168" t="s">
        <v>33</v>
      </c>
      <c r="E168" t="s">
        <v>68</v>
      </c>
      <c r="F168" t="s">
        <v>39</v>
      </c>
      <c r="G168" t="s">
        <v>44</v>
      </c>
      <c r="H168">
        <v>1</v>
      </c>
      <c r="I168">
        <v>8750</v>
      </c>
      <c r="J168" t="s">
        <v>18</v>
      </c>
      <c r="K168" t="s">
        <v>19</v>
      </c>
      <c r="L168" s="5">
        <f t="shared" si="2"/>
        <v>8750</v>
      </c>
    </row>
    <row r="169" spans="1:12" x14ac:dyDescent="0.3">
      <c r="A169" t="s">
        <v>378</v>
      </c>
      <c r="B169" t="s">
        <v>379</v>
      </c>
      <c r="C169" s="2">
        <v>45669</v>
      </c>
      <c r="D169" t="s">
        <v>64</v>
      </c>
      <c r="E169" t="s">
        <v>93</v>
      </c>
      <c r="F169" t="s">
        <v>39</v>
      </c>
      <c r="G169" t="s">
        <v>52</v>
      </c>
      <c r="H169">
        <v>4</v>
      </c>
      <c r="I169">
        <v>4800</v>
      </c>
      <c r="J169" t="s">
        <v>18</v>
      </c>
      <c r="K169" t="s">
        <v>19</v>
      </c>
      <c r="L169" s="5">
        <f t="shared" si="2"/>
        <v>19200</v>
      </c>
    </row>
    <row r="170" spans="1:12" x14ac:dyDescent="0.3">
      <c r="A170" t="s">
        <v>380</v>
      </c>
      <c r="B170" t="s">
        <v>142</v>
      </c>
      <c r="C170" s="2">
        <v>45841</v>
      </c>
      <c r="D170" t="s">
        <v>33</v>
      </c>
      <c r="E170" t="s">
        <v>68</v>
      </c>
      <c r="F170" t="s">
        <v>23</v>
      </c>
      <c r="G170" t="s">
        <v>137</v>
      </c>
      <c r="H170">
        <v>4</v>
      </c>
      <c r="I170">
        <v>1000</v>
      </c>
      <c r="J170" t="s">
        <v>35</v>
      </c>
      <c r="K170" t="s">
        <v>127</v>
      </c>
      <c r="L170" s="5">
        <f t="shared" si="2"/>
        <v>4000</v>
      </c>
    </row>
    <row r="171" spans="1:12" x14ac:dyDescent="0.3">
      <c r="A171" t="s">
        <v>381</v>
      </c>
      <c r="B171" t="s">
        <v>382</v>
      </c>
      <c r="C171" s="2">
        <v>45665</v>
      </c>
      <c r="D171" t="s">
        <v>14</v>
      </c>
      <c r="E171" t="s">
        <v>22</v>
      </c>
      <c r="F171" t="s">
        <v>29</v>
      </c>
      <c r="G171" t="s">
        <v>90</v>
      </c>
      <c r="H171">
        <v>1</v>
      </c>
      <c r="I171">
        <v>1450</v>
      </c>
      <c r="J171" t="s">
        <v>18</v>
      </c>
      <c r="K171" t="s">
        <v>19</v>
      </c>
      <c r="L171" s="5">
        <f t="shared" si="2"/>
        <v>1450</v>
      </c>
    </row>
    <row r="172" spans="1:12" x14ac:dyDescent="0.3">
      <c r="A172" t="s">
        <v>383</v>
      </c>
      <c r="B172" t="s">
        <v>186</v>
      </c>
      <c r="C172" s="2">
        <v>45776</v>
      </c>
      <c r="D172" t="s">
        <v>64</v>
      </c>
      <c r="E172" t="s">
        <v>99</v>
      </c>
      <c r="F172" t="s">
        <v>39</v>
      </c>
      <c r="G172" t="s">
        <v>146</v>
      </c>
      <c r="H172">
        <v>3</v>
      </c>
      <c r="I172">
        <v>4700</v>
      </c>
      <c r="J172" t="s">
        <v>18</v>
      </c>
      <c r="K172" t="s">
        <v>19</v>
      </c>
      <c r="L172" s="5">
        <f t="shared" si="2"/>
        <v>14100</v>
      </c>
    </row>
    <row r="173" spans="1:12" x14ac:dyDescent="0.3">
      <c r="A173" t="s">
        <v>384</v>
      </c>
      <c r="B173" t="s">
        <v>270</v>
      </c>
      <c r="C173" s="2">
        <v>46002</v>
      </c>
      <c r="D173" t="s">
        <v>14</v>
      </c>
      <c r="E173" t="s">
        <v>22</v>
      </c>
      <c r="F173" t="s">
        <v>39</v>
      </c>
      <c r="G173" t="s">
        <v>40</v>
      </c>
      <c r="H173">
        <v>3</v>
      </c>
      <c r="I173">
        <v>6350</v>
      </c>
      <c r="J173" t="s">
        <v>41</v>
      </c>
      <c r="K173" t="s">
        <v>19</v>
      </c>
      <c r="L173" s="5">
        <f t="shared" si="2"/>
        <v>19050</v>
      </c>
    </row>
    <row r="174" spans="1:12" x14ac:dyDescent="0.3">
      <c r="A174" t="s">
        <v>385</v>
      </c>
      <c r="B174" t="s">
        <v>179</v>
      </c>
      <c r="C174" s="2">
        <v>45849</v>
      </c>
      <c r="D174" t="s">
        <v>64</v>
      </c>
      <c r="E174" t="s">
        <v>93</v>
      </c>
      <c r="F174" t="s">
        <v>29</v>
      </c>
      <c r="G174" t="s">
        <v>100</v>
      </c>
      <c r="H174">
        <v>1</v>
      </c>
      <c r="I174">
        <v>5400</v>
      </c>
      <c r="J174" t="s">
        <v>35</v>
      </c>
      <c r="K174" t="s">
        <v>19</v>
      </c>
      <c r="L174" s="5">
        <f t="shared" si="2"/>
        <v>5400</v>
      </c>
    </row>
    <row r="175" spans="1:12" x14ac:dyDescent="0.3">
      <c r="A175" t="s">
        <v>386</v>
      </c>
      <c r="B175" t="s">
        <v>387</v>
      </c>
      <c r="C175" s="2">
        <v>45755</v>
      </c>
      <c r="D175" t="s">
        <v>46</v>
      </c>
      <c r="E175" t="s">
        <v>75</v>
      </c>
      <c r="F175" t="s">
        <v>23</v>
      </c>
      <c r="G175" t="s">
        <v>56</v>
      </c>
      <c r="H175">
        <v>3</v>
      </c>
      <c r="I175">
        <v>56700</v>
      </c>
      <c r="J175" t="s">
        <v>41</v>
      </c>
      <c r="K175" t="s">
        <v>19</v>
      </c>
      <c r="L175" s="5">
        <f t="shared" si="2"/>
        <v>170100</v>
      </c>
    </row>
    <row r="176" spans="1:12" x14ac:dyDescent="0.3">
      <c r="A176" t="s">
        <v>388</v>
      </c>
      <c r="B176" t="s">
        <v>389</v>
      </c>
      <c r="C176" s="2">
        <v>46001</v>
      </c>
      <c r="D176" t="s">
        <v>64</v>
      </c>
      <c r="E176" t="s">
        <v>86</v>
      </c>
      <c r="F176" t="s">
        <v>16</v>
      </c>
      <c r="G176" t="s">
        <v>134</v>
      </c>
      <c r="H176">
        <v>3</v>
      </c>
      <c r="I176">
        <v>8150</v>
      </c>
      <c r="J176" t="s">
        <v>18</v>
      </c>
      <c r="K176" t="s">
        <v>127</v>
      </c>
      <c r="L176" s="5">
        <f t="shared" si="2"/>
        <v>24450</v>
      </c>
    </row>
    <row r="177" spans="1:12" x14ac:dyDescent="0.3">
      <c r="A177" t="s">
        <v>390</v>
      </c>
      <c r="B177" t="s">
        <v>95</v>
      </c>
      <c r="C177" s="2">
        <v>45962</v>
      </c>
      <c r="D177" t="s">
        <v>14</v>
      </c>
      <c r="E177" t="s">
        <v>51</v>
      </c>
      <c r="F177" t="s">
        <v>16</v>
      </c>
      <c r="G177" t="s">
        <v>143</v>
      </c>
      <c r="H177">
        <v>1</v>
      </c>
      <c r="I177">
        <v>3450</v>
      </c>
      <c r="J177" t="s">
        <v>35</v>
      </c>
      <c r="K177" t="s">
        <v>19</v>
      </c>
      <c r="L177" s="5">
        <f t="shared" si="2"/>
        <v>3450</v>
      </c>
    </row>
    <row r="178" spans="1:12" x14ac:dyDescent="0.3">
      <c r="A178" t="s">
        <v>391</v>
      </c>
      <c r="B178" t="s">
        <v>392</v>
      </c>
      <c r="C178" s="2">
        <v>45660</v>
      </c>
      <c r="D178" t="s">
        <v>14</v>
      </c>
      <c r="E178" t="s">
        <v>22</v>
      </c>
      <c r="F178" t="s">
        <v>29</v>
      </c>
      <c r="G178" t="s">
        <v>96</v>
      </c>
      <c r="H178">
        <v>1</v>
      </c>
      <c r="I178">
        <v>4850</v>
      </c>
      <c r="J178" t="s">
        <v>35</v>
      </c>
      <c r="K178" t="s">
        <v>19</v>
      </c>
      <c r="L178" s="5">
        <f t="shared" si="2"/>
        <v>4850</v>
      </c>
    </row>
    <row r="179" spans="1:12" x14ac:dyDescent="0.3">
      <c r="A179" t="s">
        <v>393</v>
      </c>
      <c r="B179" t="s">
        <v>394</v>
      </c>
      <c r="C179" s="2">
        <v>45885</v>
      </c>
      <c r="D179" t="s">
        <v>33</v>
      </c>
      <c r="E179" t="s">
        <v>80</v>
      </c>
      <c r="F179" t="s">
        <v>29</v>
      </c>
      <c r="G179" t="s">
        <v>90</v>
      </c>
      <c r="H179">
        <v>1</v>
      </c>
      <c r="I179">
        <v>6600</v>
      </c>
      <c r="J179" t="s">
        <v>18</v>
      </c>
      <c r="K179" t="s">
        <v>19</v>
      </c>
      <c r="L179" s="5">
        <f t="shared" si="2"/>
        <v>6600</v>
      </c>
    </row>
    <row r="180" spans="1:12" x14ac:dyDescent="0.3">
      <c r="A180" t="s">
        <v>395</v>
      </c>
      <c r="B180" t="s">
        <v>396</v>
      </c>
      <c r="C180" s="2">
        <v>45938</v>
      </c>
      <c r="D180" t="s">
        <v>64</v>
      </c>
      <c r="E180" t="s">
        <v>93</v>
      </c>
      <c r="F180" t="s">
        <v>29</v>
      </c>
      <c r="G180" t="s">
        <v>90</v>
      </c>
      <c r="H180">
        <v>1</v>
      </c>
      <c r="I180">
        <v>550</v>
      </c>
      <c r="J180" t="s">
        <v>18</v>
      </c>
      <c r="K180" t="s">
        <v>19</v>
      </c>
      <c r="L180" s="5">
        <f t="shared" si="2"/>
        <v>550</v>
      </c>
    </row>
    <row r="181" spans="1:12" x14ac:dyDescent="0.3">
      <c r="A181" t="s">
        <v>397</v>
      </c>
      <c r="B181" t="s">
        <v>312</v>
      </c>
      <c r="C181" s="2">
        <v>45709</v>
      </c>
      <c r="D181" t="s">
        <v>14</v>
      </c>
      <c r="E181" t="s">
        <v>51</v>
      </c>
      <c r="F181" t="s">
        <v>29</v>
      </c>
      <c r="G181" t="s">
        <v>96</v>
      </c>
      <c r="H181">
        <v>1</v>
      </c>
      <c r="I181">
        <v>4050</v>
      </c>
      <c r="J181" t="s">
        <v>18</v>
      </c>
      <c r="K181" t="s">
        <v>19</v>
      </c>
      <c r="L181" s="5">
        <f t="shared" si="2"/>
        <v>4050</v>
      </c>
    </row>
    <row r="182" spans="1:12" x14ac:dyDescent="0.3">
      <c r="A182" t="s">
        <v>398</v>
      </c>
      <c r="B182" t="s">
        <v>399</v>
      </c>
      <c r="C182" s="2">
        <v>45789</v>
      </c>
      <c r="D182" t="s">
        <v>64</v>
      </c>
      <c r="E182" t="s">
        <v>93</v>
      </c>
      <c r="F182" t="s">
        <v>29</v>
      </c>
      <c r="G182" t="s">
        <v>184</v>
      </c>
      <c r="H182">
        <v>1</v>
      </c>
      <c r="I182">
        <v>4800</v>
      </c>
      <c r="J182" t="s">
        <v>35</v>
      </c>
      <c r="K182" t="s">
        <v>19</v>
      </c>
      <c r="L182" s="5">
        <f t="shared" si="2"/>
        <v>4800</v>
      </c>
    </row>
    <row r="183" spans="1:12" x14ac:dyDescent="0.3">
      <c r="A183" t="s">
        <v>400</v>
      </c>
      <c r="B183" t="s">
        <v>401</v>
      </c>
      <c r="C183" s="2">
        <v>45955</v>
      </c>
      <c r="D183" t="s">
        <v>14</v>
      </c>
      <c r="E183" t="s">
        <v>15</v>
      </c>
      <c r="F183" t="s">
        <v>39</v>
      </c>
      <c r="G183" t="s">
        <v>87</v>
      </c>
      <c r="H183">
        <v>2</v>
      </c>
      <c r="I183">
        <v>2200</v>
      </c>
      <c r="J183" t="s">
        <v>35</v>
      </c>
      <c r="K183" t="s">
        <v>19</v>
      </c>
      <c r="L183" s="5">
        <f t="shared" si="2"/>
        <v>4400</v>
      </c>
    </row>
    <row r="184" spans="1:12" x14ac:dyDescent="0.3">
      <c r="A184" t="s">
        <v>402</v>
      </c>
      <c r="B184" t="s">
        <v>403</v>
      </c>
      <c r="C184" s="2">
        <v>45775</v>
      </c>
      <c r="D184" t="s">
        <v>33</v>
      </c>
      <c r="E184" t="s">
        <v>68</v>
      </c>
      <c r="F184" t="s">
        <v>39</v>
      </c>
      <c r="G184" t="s">
        <v>44</v>
      </c>
      <c r="H184">
        <v>1</v>
      </c>
      <c r="I184">
        <v>8250</v>
      </c>
      <c r="J184" t="s">
        <v>41</v>
      </c>
      <c r="K184" t="s">
        <v>19</v>
      </c>
      <c r="L184" s="5">
        <f t="shared" si="2"/>
        <v>8250</v>
      </c>
    </row>
    <row r="185" spans="1:12" x14ac:dyDescent="0.3">
      <c r="A185" t="s">
        <v>404</v>
      </c>
      <c r="B185" t="s">
        <v>405</v>
      </c>
      <c r="C185" s="2">
        <v>45865</v>
      </c>
      <c r="D185" t="s">
        <v>14</v>
      </c>
      <c r="E185" t="s">
        <v>51</v>
      </c>
      <c r="F185" t="s">
        <v>29</v>
      </c>
      <c r="G185" t="s">
        <v>30</v>
      </c>
      <c r="H185">
        <v>1</v>
      </c>
      <c r="I185">
        <v>5300</v>
      </c>
      <c r="J185" t="s">
        <v>41</v>
      </c>
      <c r="K185" t="s">
        <v>69</v>
      </c>
      <c r="L185" s="5">
        <f t="shared" si="2"/>
        <v>5300</v>
      </c>
    </row>
    <row r="186" spans="1:12" x14ac:dyDescent="0.3">
      <c r="A186" t="s">
        <v>406</v>
      </c>
      <c r="B186" t="s">
        <v>407</v>
      </c>
      <c r="C186" s="2">
        <v>45821</v>
      </c>
      <c r="D186" t="s">
        <v>64</v>
      </c>
      <c r="E186" t="s">
        <v>86</v>
      </c>
      <c r="F186" t="s">
        <v>29</v>
      </c>
      <c r="G186" t="s">
        <v>96</v>
      </c>
      <c r="H186">
        <v>3</v>
      </c>
      <c r="I186">
        <v>5950</v>
      </c>
      <c r="J186" t="s">
        <v>35</v>
      </c>
      <c r="K186" t="s">
        <v>127</v>
      </c>
      <c r="L186" s="5">
        <f t="shared" si="2"/>
        <v>17850</v>
      </c>
    </row>
    <row r="187" spans="1:12" x14ac:dyDescent="0.3">
      <c r="A187" t="s">
        <v>408</v>
      </c>
      <c r="B187" t="s">
        <v>139</v>
      </c>
      <c r="C187" s="2">
        <v>45950</v>
      </c>
      <c r="D187" t="s">
        <v>14</v>
      </c>
      <c r="E187" t="s">
        <v>51</v>
      </c>
      <c r="F187" t="s">
        <v>23</v>
      </c>
      <c r="G187" t="s">
        <v>193</v>
      </c>
      <c r="H187">
        <v>3</v>
      </c>
      <c r="I187">
        <v>48100</v>
      </c>
      <c r="J187" t="s">
        <v>18</v>
      </c>
      <c r="K187" t="s">
        <v>19</v>
      </c>
      <c r="L187" s="5">
        <f t="shared" si="2"/>
        <v>144300</v>
      </c>
    </row>
    <row r="188" spans="1:12" x14ac:dyDescent="0.3">
      <c r="A188" t="s">
        <v>409</v>
      </c>
      <c r="B188" t="s">
        <v>410</v>
      </c>
      <c r="C188" s="2">
        <v>45977</v>
      </c>
      <c r="D188" t="s">
        <v>14</v>
      </c>
      <c r="E188" t="s">
        <v>28</v>
      </c>
      <c r="F188" t="s">
        <v>29</v>
      </c>
      <c r="G188" t="s">
        <v>30</v>
      </c>
      <c r="H188">
        <v>1</v>
      </c>
      <c r="I188">
        <v>2150</v>
      </c>
      <c r="J188" t="s">
        <v>41</v>
      </c>
      <c r="K188" t="s">
        <v>19</v>
      </c>
      <c r="L188" s="5">
        <f t="shared" si="2"/>
        <v>2150</v>
      </c>
    </row>
    <row r="189" spans="1:12" x14ac:dyDescent="0.3">
      <c r="A189" t="s">
        <v>411</v>
      </c>
      <c r="B189" t="s">
        <v>412</v>
      </c>
      <c r="C189" s="2">
        <v>45959</v>
      </c>
      <c r="D189" t="s">
        <v>64</v>
      </c>
      <c r="E189" t="s">
        <v>86</v>
      </c>
      <c r="F189" t="s">
        <v>23</v>
      </c>
      <c r="G189" t="s">
        <v>137</v>
      </c>
      <c r="H189">
        <v>2</v>
      </c>
      <c r="I189">
        <v>28250</v>
      </c>
      <c r="J189" t="s">
        <v>35</v>
      </c>
      <c r="K189" t="s">
        <v>25</v>
      </c>
      <c r="L189" s="5">
        <f t="shared" si="2"/>
        <v>56500</v>
      </c>
    </row>
    <row r="190" spans="1:12" x14ac:dyDescent="0.3">
      <c r="A190" t="s">
        <v>413</v>
      </c>
      <c r="B190" t="s">
        <v>414</v>
      </c>
      <c r="C190" s="2">
        <v>45730</v>
      </c>
      <c r="D190" t="s">
        <v>14</v>
      </c>
      <c r="E190" t="s">
        <v>15</v>
      </c>
      <c r="F190" t="s">
        <v>23</v>
      </c>
      <c r="G190" t="s">
        <v>193</v>
      </c>
      <c r="H190">
        <v>1</v>
      </c>
      <c r="I190">
        <v>18350</v>
      </c>
      <c r="J190" t="s">
        <v>18</v>
      </c>
      <c r="K190" t="s">
        <v>69</v>
      </c>
      <c r="L190" s="5">
        <f t="shared" si="2"/>
        <v>18350</v>
      </c>
    </row>
    <row r="191" spans="1:12" x14ac:dyDescent="0.3">
      <c r="A191" t="s">
        <v>415</v>
      </c>
      <c r="B191" t="s">
        <v>416</v>
      </c>
      <c r="C191" s="2">
        <v>45817</v>
      </c>
      <c r="D191" t="s">
        <v>14</v>
      </c>
      <c r="E191" t="s">
        <v>28</v>
      </c>
      <c r="F191" t="s">
        <v>16</v>
      </c>
      <c r="G191" t="s">
        <v>81</v>
      </c>
      <c r="H191">
        <v>2</v>
      </c>
      <c r="I191">
        <v>850</v>
      </c>
      <c r="J191" t="s">
        <v>18</v>
      </c>
      <c r="K191" t="s">
        <v>127</v>
      </c>
      <c r="L191" s="5">
        <f t="shared" si="2"/>
        <v>1700</v>
      </c>
    </row>
    <row r="192" spans="1:12" x14ac:dyDescent="0.3">
      <c r="A192" t="s">
        <v>417</v>
      </c>
      <c r="B192" t="s">
        <v>410</v>
      </c>
      <c r="C192" s="2">
        <v>45759</v>
      </c>
      <c r="D192" t="s">
        <v>64</v>
      </c>
      <c r="E192" t="s">
        <v>65</v>
      </c>
      <c r="F192" t="s">
        <v>29</v>
      </c>
      <c r="G192" t="s">
        <v>90</v>
      </c>
      <c r="H192">
        <v>1</v>
      </c>
      <c r="I192">
        <v>2850</v>
      </c>
      <c r="J192" t="s">
        <v>35</v>
      </c>
      <c r="K192" t="s">
        <v>25</v>
      </c>
      <c r="L192" s="5">
        <f t="shared" si="2"/>
        <v>2850</v>
      </c>
    </row>
    <row r="193" spans="1:12" x14ac:dyDescent="0.3">
      <c r="A193" t="s">
        <v>418</v>
      </c>
      <c r="B193" t="s">
        <v>419</v>
      </c>
      <c r="C193" s="2">
        <v>45960</v>
      </c>
      <c r="D193" t="s">
        <v>33</v>
      </c>
      <c r="E193" t="s">
        <v>34</v>
      </c>
      <c r="F193" t="s">
        <v>29</v>
      </c>
      <c r="G193" t="s">
        <v>90</v>
      </c>
      <c r="H193">
        <v>2</v>
      </c>
      <c r="I193">
        <v>850</v>
      </c>
      <c r="J193" t="s">
        <v>115</v>
      </c>
      <c r="K193" t="s">
        <v>19</v>
      </c>
      <c r="L193" s="5">
        <f t="shared" si="2"/>
        <v>1700</v>
      </c>
    </row>
    <row r="194" spans="1:12" x14ac:dyDescent="0.3">
      <c r="A194" t="s">
        <v>420</v>
      </c>
      <c r="B194" t="s">
        <v>421</v>
      </c>
      <c r="C194" s="2">
        <v>45801</v>
      </c>
      <c r="D194" t="s">
        <v>14</v>
      </c>
      <c r="E194" t="s">
        <v>51</v>
      </c>
      <c r="F194" t="s">
        <v>23</v>
      </c>
      <c r="G194" t="s">
        <v>193</v>
      </c>
      <c r="H194">
        <v>1</v>
      </c>
      <c r="I194">
        <v>53550</v>
      </c>
      <c r="J194" t="s">
        <v>18</v>
      </c>
      <c r="K194" t="s">
        <v>25</v>
      </c>
      <c r="L194" s="5">
        <f t="shared" si="2"/>
        <v>53550</v>
      </c>
    </row>
    <row r="195" spans="1:12" x14ac:dyDescent="0.3">
      <c r="A195" t="s">
        <v>422</v>
      </c>
      <c r="B195" t="s">
        <v>423</v>
      </c>
      <c r="C195" s="2">
        <v>45741</v>
      </c>
      <c r="D195" t="s">
        <v>46</v>
      </c>
      <c r="E195" t="s">
        <v>47</v>
      </c>
      <c r="F195" t="s">
        <v>16</v>
      </c>
      <c r="G195" t="s">
        <v>134</v>
      </c>
      <c r="H195">
        <v>4</v>
      </c>
      <c r="I195">
        <v>8950</v>
      </c>
      <c r="J195" t="s">
        <v>41</v>
      </c>
      <c r="K195" t="s">
        <v>127</v>
      </c>
      <c r="L195" s="5">
        <f t="shared" ref="L195:L258" si="3">H195*I195</f>
        <v>35800</v>
      </c>
    </row>
    <row r="196" spans="1:12" x14ac:dyDescent="0.3">
      <c r="A196" t="s">
        <v>424</v>
      </c>
      <c r="B196" t="s">
        <v>425</v>
      </c>
      <c r="C196" s="2">
        <v>45949</v>
      </c>
      <c r="D196" t="s">
        <v>64</v>
      </c>
      <c r="E196" t="s">
        <v>65</v>
      </c>
      <c r="F196" t="s">
        <v>29</v>
      </c>
      <c r="G196" t="s">
        <v>90</v>
      </c>
      <c r="H196">
        <v>3</v>
      </c>
      <c r="I196">
        <v>1350</v>
      </c>
      <c r="J196" t="s">
        <v>35</v>
      </c>
      <c r="K196" t="s">
        <v>19</v>
      </c>
      <c r="L196" s="5">
        <f t="shared" si="3"/>
        <v>4050</v>
      </c>
    </row>
    <row r="197" spans="1:12" x14ac:dyDescent="0.3">
      <c r="A197" t="s">
        <v>426</v>
      </c>
      <c r="B197" t="s">
        <v>427</v>
      </c>
      <c r="C197" s="2">
        <v>45847</v>
      </c>
      <c r="D197" t="s">
        <v>14</v>
      </c>
      <c r="E197" t="s">
        <v>51</v>
      </c>
      <c r="F197" t="s">
        <v>16</v>
      </c>
      <c r="G197" t="s">
        <v>48</v>
      </c>
      <c r="H197">
        <v>4</v>
      </c>
      <c r="I197">
        <v>1000</v>
      </c>
      <c r="J197" t="s">
        <v>41</v>
      </c>
      <c r="K197" t="s">
        <v>19</v>
      </c>
      <c r="L197" s="5">
        <f t="shared" si="3"/>
        <v>4000</v>
      </c>
    </row>
    <row r="198" spans="1:12" x14ac:dyDescent="0.3">
      <c r="A198" t="s">
        <v>428</v>
      </c>
      <c r="B198" t="s">
        <v>205</v>
      </c>
      <c r="C198" s="2">
        <v>45896</v>
      </c>
      <c r="D198" t="s">
        <v>46</v>
      </c>
      <c r="E198" t="s">
        <v>47</v>
      </c>
      <c r="F198" t="s">
        <v>16</v>
      </c>
      <c r="G198" t="s">
        <v>134</v>
      </c>
      <c r="H198">
        <v>2</v>
      </c>
      <c r="I198">
        <v>8300</v>
      </c>
      <c r="J198" t="s">
        <v>115</v>
      </c>
      <c r="K198" t="s">
        <v>127</v>
      </c>
      <c r="L198" s="5">
        <f t="shared" si="3"/>
        <v>16600</v>
      </c>
    </row>
    <row r="199" spans="1:12" x14ac:dyDescent="0.3">
      <c r="A199" t="s">
        <v>429</v>
      </c>
      <c r="B199" t="s">
        <v>244</v>
      </c>
      <c r="C199" s="2">
        <v>45671</v>
      </c>
      <c r="D199" t="s">
        <v>64</v>
      </c>
      <c r="E199" t="s">
        <v>86</v>
      </c>
      <c r="F199" t="s">
        <v>16</v>
      </c>
      <c r="G199" t="s">
        <v>48</v>
      </c>
      <c r="H199">
        <v>3</v>
      </c>
      <c r="I199">
        <v>7950</v>
      </c>
      <c r="J199" t="s">
        <v>61</v>
      </c>
      <c r="K199" t="s">
        <v>127</v>
      </c>
      <c r="L199" s="5">
        <f t="shared" si="3"/>
        <v>23850</v>
      </c>
    </row>
    <row r="200" spans="1:12" x14ac:dyDescent="0.3">
      <c r="A200" t="s">
        <v>430</v>
      </c>
      <c r="B200" t="s">
        <v>319</v>
      </c>
      <c r="C200" s="2">
        <v>45938</v>
      </c>
      <c r="D200" t="s">
        <v>14</v>
      </c>
      <c r="E200" t="s">
        <v>28</v>
      </c>
      <c r="F200" t="s">
        <v>23</v>
      </c>
      <c r="G200" t="s">
        <v>137</v>
      </c>
      <c r="H200">
        <v>1</v>
      </c>
      <c r="I200">
        <v>45400</v>
      </c>
      <c r="K200" t="s">
        <v>19</v>
      </c>
      <c r="L200" s="5">
        <f t="shared" si="3"/>
        <v>45400</v>
      </c>
    </row>
    <row r="201" spans="1:12" x14ac:dyDescent="0.3">
      <c r="A201" t="s">
        <v>431</v>
      </c>
      <c r="B201" t="s">
        <v>432</v>
      </c>
      <c r="C201" s="2">
        <v>45682</v>
      </c>
      <c r="D201" t="s">
        <v>46</v>
      </c>
      <c r="E201" t="s">
        <v>47</v>
      </c>
      <c r="F201" t="s">
        <v>16</v>
      </c>
      <c r="G201" t="s">
        <v>143</v>
      </c>
      <c r="H201">
        <v>3</v>
      </c>
      <c r="I201">
        <v>1450</v>
      </c>
      <c r="J201" t="s">
        <v>61</v>
      </c>
      <c r="K201" t="s">
        <v>19</v>
      </c>
      <c r="L201" s="5">
        <f t="shared" si="3"/>
        <v>4350</v>
      </c>
    </row>
    <row r="202" spans="1:12" x14ac:dyDescent="0.3">
      <c r="A202" t="s">
        <v>433</v>
      </c>
      <c r="B202" t="s">
        <v>280</v>
      </c>
      <c r="C202" s="2">
        <v>45753</v>
      </c>
      <c r="D202" t="s">
        <v>14</v>
      </c>
      <c r="E202" t="s">
        <v>22</v>
      </c>
      <c r="F202" t="s">
        <v>29</v>
      </c>
      <c r="G202" t="s">
        <v>90</v>
      </c>
      <c r="H202">
        <v>1</v>
      </c>
      <c r="I202">
        <v>4250</v>
      </c>
      <c r="J202" t="s">
        <v>18</v>
      </c>
      <c r="K202" t="s">
        <v>19</v>
      </c>
      <c r="L202" s="5">
        <f t="shared" si="3"/>
        <v>4250</v>
      </c>
    </row>
    <row r="203" spans="1:12" x14ac:dyDescent="0.3">
      <c r="A203" t="s">
        <v>434</v>
      </c>
      <c r="B203" t="s">
        <v>435</v>
      </c>
      <c r="C203" s="2">
        <v>45944</v>
      </c>
      <c r="D203" t="s">
        <v>33</v>
      </c>
      <c r="E203" t="s">
        <v>22</v>
      </c>
      <c r="F203" t="s">
        <v>29</v>
      </c>
      <c r="G203" t="s">
        <v>30</v>
      </c>
      <c r="H203">
        <v>1</v>
      </c>
      <c r="I203">
        <v>6850</v>
      </c>
      <c r="J203" t="s">
        <v>18</v>
      </c>
      <c r="K203" t="s">
        <v>19</v>
      </c>
      <c r="L203" s="5">
        <f t="shared" si="3"/>
        <v>6850</v>
      </c>
    </row>
    <row r="204" spans="1:12" x14ac:dyDescent="0.3">
      <c r="A204" t="s">
        <v>436</v>
      </c>
      <c r="B204" t="s">
        <v>188</v>
      </c>
      <c r="C204" s="2">
        <v>45756</v>
      </c>
      <c r="D204" t="s">
        <v>14</v>
      </c>
      <c r="E204" t="s">
        <v>51</v>
      </c>
      <c r="F204" t="s">
        <v>23</v>
      </c>
      <c r="G204" t="s">
        <v>24</v>
      </c>
      <c r="H204">
        <v>5</v>
      </c>
      <c r="I204">
        <v>4450</v>
      </c>
      <c r="J204" t="s">
        <v>18</v>
      </c>
      <c r="K204" t="s">
        <v>19</v>
      </c>
      <c r="L204" s="5">
        <f t="shared" si="3"/>
        <v>22250</v>
      </c>
    </row>
    <row r="205" spans="1:12" x14ac:dyDescent="0.3">
      <c r="A205" t="s">
        <v>437</v>
      </c>
      <c r="B205" t="s">
        <v>438</v>
      </c>
      <c r="C205" s="2">
        <v>45930</v>
      </c>
      <c r="D205" t="s">
        <v>14</v>
      </c>
      <c r="E205" t="s">
        <v>28</v>
      </c>
      <c r="F205" t="s">
        <v>23</v>
      </c>
      <c r="G205" t="s">
        <v>140</v>
      </c>
      <c r="H205">
        <v>2</v>
      </c>
      <c r="I205">
        <v>12150</v>
      </c>
      <c r="J205" t="s">
        <v>35</v>
      </c>
      <c r="K205" t="s">
        <v>19</v>
      </c>
      <c r="L205" s="5">
        <f t="shared" si="3"/>
        <v>24300</v>
      </c>
    </row>
    <row r="206" spans="1:12" x14ac:dyDescent="0.3">
      <c r="A206" t="s">
        <v>439</v>
      </c>
      <c r="B206" t="s">
        <v>43</v>
      </c>
      <c r="C206" s="2">
        <v>45719</v>
      </c>
      <c r="D206" t="s">
        <v>14</v>
      </c>
      <c r="E206" t="s">
        <v>15</v>
      </c>
      <c r="F206" t="s">
        <v>23</v>
      </c>
      <c r="G206" t="s">
        <v>140</v>
      </c>
      <c r="H206">
        <v>3</v>
      </c>
      <c r="I206">
        <v>42850</v>
      </c>
      <c r="J206" t="s">
        <v>35</v>
      </c>
      <c r="K206" t="s">
        <v>127</v>
      </c>
      <c r="L206" s="5">
        <f t="shared" si="3"/>
        <v>128550</v>
      </c>
    </row>
    <row r="207" spans="1:12" x14ac:dyDescent="0.3">
      <c r="A207" t="s">
        <v>440</v>
      </c>
      <c r="B207" t="s">
        <v>441</v>
      </c>
      <c r="C207" s="2">
        <v>45719</v>
      </c>
      <c r="D207" t="s">
        <v>14</v>
      </c>
      <c r="E207" t="s">
        <v>15</v>
      </c>
      <c r="F207" t="s">
        <v>29</v>
      </c>
      <c r="G207" t="s">
        <v>96</v>
      </c>
      <c r="H207">
        <v>1</v>
      </c>
      <c r="I207">
        <v>4050</v>
      </c>
      <c r="J207" t="s">
        <v>41</v>
      </c>
      <c r="K207" t="s">
        <v>25</v>
      </c>
      <c r="L207" s="5">
        <f t="shared" si="3"/>
        <v>4050</v>
      </c>
    </row>
    <row r="208" spans="1:12" x14ac:dyDescent="0.3">
      <c r="A208" t="s">
        <v>442</v>
      </c>
      <c r="B208" t="s">
        <v>443</v>
      </c>
      <c r="C208" s="2">
        <v>45838</v>
      </c>
      <c r="D208" t="s">
        <v>64</v>
      </c>
      <c r="E208" t="s">
        <v>86</v>
      </c>
      <c r="F208" t="s">
        <v>16</v>
      </c>
      <c r="G208" t="s">
        <v>17</v>
      </c>
      <c r="H208">
        <v>2</v>
      </c>
      <c r="I208">
        <v>1900</v>
      </c>
      <c r="J208" t="s">
        <v>18</v>
      </c>
      <c r="K208" t="s">
        <v>127</v>
      </c>
      <c r="L208" s="5">
        <f t="shared" si="3"/>
        <v>3800</v>
      </c>
    </row>
    <row r="209" spans="1:12" x14ac:dyDescent="0.3">
      <c r="A209" t="s">
        <v>444</v>
      </c>
      <c r="B209" t="s">
        <v>441</v>
      </c>
      <c r="C209" s="2">
        <v>45774</v>
      </c>
      <c r="D209" t="s">
        <v>14</v>
      </c>
      <c r="E209" t="s">
        <v>51</v>
      </c>
      <c r="F209" t="s">
        <v>59</v>
      </c>
      <c r="G209" t="s">
        <v>163</v>
      </c>
      <c r="H209">
        <v>2</v>
      </c>
      <c r="I209">
        <v>750</v>
      </c>
      <c r="J209" t="s">
        <v>41</v>
      </c>
      <c r="K209" t="s">
        <v>127</v>
      </c>
      <c r="L209" s="5">
        <f t="shared" si="3"/>
        <v>1500</v>
      </c>
    </row>
    <row r="210" spans="1:12" x14ac:dyDescent="0.3">
      <c r="A210" t="s">
        <v>445</v>
      </c>
      <c r="B210" t="s">
        <v>105</v>
      </c>
      <c r="C210" s="2">
        <v>45699</v>
      </c>
      <c r="D210" t="s">
        <v>46</v>
      </c>
      <c r="E210" t="s">
        <v>55</v>
      </c>
      <c r="F210" t="s">
        <v>16</v>
      </c>
      <c r="G210" t="s">
        <v>134</v>
      </c>
      <c r="H210">
        <v>1</v>
      </c>
      <c r="I210">
        <v>6700</v>
      </c>
      <c r="J210" t="s">
        <v>41</v>
      </c>
      <c r="K210" t="s">
        <v>19</v>
      </c>
      <c r="L210" s="5">
        <f t="shared" si="3"/>
        <v>6700</v>
      </c>
    </row>
    <row r="211" spans="1:12" x14ac:dyDescent="0.3">
      <c r="A211" t="s">
        <v>446</v>
      </c>
      <c r="B211" t="s">
        <v>447</v>
      </c>
      <c r="C211" s="2">
        <v>45754</v>
      </c>
      <c r="D211" t="s">
        <v>14</v>
      </c>
      <c r="E211" t="s">
        <v>15</v>
      </c>
      <c r="F211" t="s">
        <v>59</v>
      </c>
      <c r="G211" t="s">
        <v>163</v>
      </c>
      <c r="H211">
        <v>1</v>
      </c>
      <c r="I211">
        <v>4000</v>
      </c>
      <c r="J211" t="s">
        <v>35</v>
      </c>
      <c r="K211" t="s">
        <v>19</v>
      </c>
      <c r="L211" s="5">
        <f t="shared" si="3"/>
        <v>4000</v>
      </c>
    </row>
    <row r="212" spans="1:12" x14ac:dyDescent="0.3">
      <c r="A212" t="s">
        <v>448</v>
      </c>
      <c r="B212" t="s">
        <v>449</v>
      </c>
      <c r="C212" s="2">
        <v>45736</v>
      </c>
      <c r="D212" t="s">
        <v>14</v>
      </c>
      <c r="E212" t="s">
        <v>15</v>
      </c>
      <c r="F212" t="s">
        <v>39</v>
      </c>
      <c r="G212" t="s">
        <v>40</v>
      </c>
      <c r="H212">
        <v>2</v>
      </c>
      <c r="I212">
        <v>4900</v>
      </c>
      <c r="J212" t="s">
        <v>35</v>
      </c>
      <c r="K212" t="s">
        <v>69</v>
      </c>
      <c r="L212" s="5">
        <f t="shared" si="3"/>
        <v>9800</v>
      </c>
    </row>
    <row r="213" spans="1:12" x14ac:dyDescent="0.3">
      <c r="A213" t="s">
        <v>450</v>
      </c>
      <c r="B213" t="s">
        <v>451</v>
      </c>
      <c r="C213" s="2">
        <v>45700</v>
      </c>
      <c r="D213" t="s">
        <v>14</v>
      </c>
      <c r="E213" t="s">
        <v>15</v>
      </c>
      <c r="F213" t="s">
        <v>39</v>
      </c>
      <c r="G213" t="s">
        <v>52</v>
      </c>
      <c r="H213">
        <v>1</v>
      </c>
      <c r="I213">
        <v>9900</v>
      </c>
      <c r="J213" t="s">
        <v>18</v>
      </c>
      <c r="K213" t="s">
        <v>19</v>
      </c>
      <c r="L213" s="5">
        <f t="shared" si="3"/>
        <v>9900</v>
      </c>
    </row>
    <row r="214" spans="1:12" x14ac:dyDescent="0.3">
      <c r="A214" t="s">
        <v>452</v>
      </c>
      <c r="B214" t="s">
        <v>453</v>
      </c>
      <c r="C214" s="2">
        <v>45796</v>
      </c>
      <c r="D214" t="s">
        <v>14</v>
      </c>
      <c r="E214" t="s">
        <v>15</v>
      </c>
      <c r="F214" t="s">
        <v>29</v>
      </c>
      <c r="G214" t="s">
        <v>96</v>
      </c>
      <c r="H214">
        <v>2</v>
      </c>
      <c r="I214">
        <v>650</v>
      </c>
      <c r="J214" t="s">
        <v>41</v>
      </c>
      <c r="K214" t="s">
        <v>19</v>
      </c>
      <c r="L214" s="5">
        <f t="shared" si="3"/>
        <v>1300</v>
      </c>
    </row>
    <row r="215" spans="1:12" x14ac:dyDescent="0.3">
      <c r="A215" t="s">
        <v>454</v>
      </c>
      <c r="B215" t="s">
        <v>343</v>
      </c>
      <c r="C215" s="2">
        <v>45977</v>
      </c>
      <c r="D215" t="s">
        <v>64</v>
      </c>
      <c r="E215" t="s">
        <v>65</v>
      </c>
      <c r="F215" t="s">
        <v>39</v>
      </c>
      <c r="G215" t="s">
        <v>87</v>
      </c>
      <c r="H215">
        <v>1</v>
      </c>
      <c r="I215">
        <v>3850</v>
      </c>
      <c r="J215" t="s">
        <v>41</v>
      </c>
      <c r="K215" t="s">
        <v>127</v>
      </c>
      <c r="L215" s="5">
        <f t="shared" si="3"/>
        <v>3850</v>
      </c>
    </row>
    <row r="216" spans="1:12" x14ac:dyDescent="0.3">
      <c r="A216" t="s">
        <v>455</v>
      </c>
      <c r="B216" t="s">
        <v>456</v>
      </c>
      <c r="C216" s="2">
        <v>45949</v>
      </c>
      <c r="D216" t="s">
        <v>46</v>
      </c>
      <c r="E216" t="s">
        <v>55</v>
      </c>
      <c r="F216" t="s">
        <v>16</v>
      </c>
      <c r="G216" t="s">
        <v>134</v>
      </c>
      <c r="H216">
        <v>2</v>
      </c>
      <c r="I216">
        <v>7000</v>
      </c>
      <c r="J216" t="s">
        <v>41</v>
      </c>
      <c r="K216" t="s">
        <v>19</v>
      </c>
      <c r="L216" s="5">
        <f t="shared" si="3"/>
        <v>14000</v>
      </c>
    </row>
    <row r="217" spans="1:12" x14ac:dyDescent="0.3">
      <c r="A217" t="s">
        <v>457</v>
      </c>
      <c r="B217" t="s">
        <v>458</v>
      </c>
      <c r="C217" s="2">
        <v>45915</v>
      </c>
      <c r="D217" t="s">
        <v>64</v>
      </c>
      <c r="E217" t="s">
        <v>86</v>
      </c>
      <c r="F217" t="s">
        <v>29</v>
      </c>
      <c r="G217" t="s">
        <v>100</v>
      </c>
      <c r="H217">
        <v>3</v>
      </c>
      <c r="I217">
        <v>4050</v>
      </c>
      <c r="J217" t="s">
        <v>18</v>
      </c>
      <c r="K217" t="s">
        <v>19</v>
      </c>
      <c r="L217" s="5">
        <f t="shared" si="3"/>
        <v>12150</v>
      </c>
    </row>
    <row r="218" spans="1:12" x14ac:dyDescent="0.3">
      <c r="A218" t="s">
        <v>459</v>
      </c>
      <c r="B218" t="s">
        <v>460</v>
      </c>
      <c r="C218" s="2">
        <v>45840</v>
      </c>
      <c r="D218" t="s">
        <v>46</v>
      </c>
      <c r="E218" t="s">
        <v>55</v>
      </c>
      <c r="F218" t="s">
        <v>29</v>
      </c>
      <c r="G218" t="s">
        <v>184</v>
      </c>
      <c r="H218">
        <v>2</v>
      </c>
      <c r="I218">
        <v>6550</v>
      </c>
      <c r="J218" t="s">
        <v>18</v>
      </c>
      <c r="K218" t="s">
        <v>19</v>
      </c>
      <c r="L218" s="5">
        <f t="shared" si="3"/>
        <v>13100</v>
      </c>
    </row>
    <row r="219" spans="1:12" x14ac:dyDescent="0.3">
      <c r="A219" t="s">
        <v>461</v>
      </c>
      <c r="B219" t="s">
        <v>272</v>
      </c>
      <c r="C219" s="2">
        <v>45831</v>
      </c>
      <c r="D219" t="s">
        <v>33</v>
      </c>
      <c r="E219" t="s">
        <v>38</v>
      </c>
      <c r="F219" t="s">
        <v>23</v>
      </c>
      <c r="G219" t="s">
        <v>24</v>
      </c>
      <c r="H219">
        <v>4</v>
      </c>
      <c r="I219">
        <v>40100</v>
      </c>
      <c r="J219" t="s">
        <v>18</v>
      </c>
      <c r="K219" t="s">
        <v>19</v>
      </c>
      <c r="L219" s="5">
        <f t="shared" si="3"/>
        <v>160400</v>
      </c>
    </row>
    <row r="220" spans="1:12" x14ac:dyDescent="0.3">
      <c r="A220" t="s">
        <v>462</v>
      </c>
      <c r="B220" t="s">
        <v>423</v>
      </c>
      <c r="C220" s="2">
        <v>45806</v>
      </c>
      <c r="D220" t="s">
        <v>14</v>
      </c>
      <c r="E220" t="s">
        <v>15</v>
      </c>
      <c r="F220" t="s">
        <v>23</v>
      </c>
      <c r="G220" t="s">
        <v>137</v>
      </c>
      <c r="H220">
        <v>3</v>
      </c>
      <c r="I220">
        <v>21100</v>
      </c>
      <c r="J220" t="s">
        <v>18</v>
      </c>
      <c r="K220" t="s">
        <v>19</v>
      </c>
      <c r="L220" s="5">
        <f t="shared" si="3"/>
        <v>63300</v>
      </c>
    </row>
    <row r="221" spans="1:12" x14ac:dyDescent="0.3">
      <c r="A221" t="s">
        <v>463</v>
      </c>
      <c r="B221" t="s">
        <v>410</v>
      </c>
      <c r="C221" s="2">
        <v>45686</v>
      </c>
      <c r="D221" t="s">
        <v>14</v>
      </c>
      <c r="E221" t="s">
        <v>15</v>
      </c>
      <c r="F221" t="s">
        <v>39</v>
      </c>
      <c r="G221" t="s">
        <v>44</v>
      </c>
      <c r="H221">
        <v>5</v>
      </c>
      <c r="I221">
        <v>5700</v>
      </c>
      <c r="J221" t="s">
        <v>115</v>
      </c>
      <c r="K221" t="s">
        <v>19</v>
      </c>
      <c r="L221" s="5">
        <f t="shared" si="3"/>
        <v>28500</v>
      </c>
    </row>
    <row r="222" spans="1:12" x14ac:dyDescent="0.3">
      <c r="A222" t="s">
        <v>464</v>
      </c>
      <c r="B222" t="s">
        <v>465</v>
      </c>
      <c r="C222" s="2">
        <v>45846</v>
      </c>
      <c r="D222" t="s">
        <v>64</v>
      </c>
      <c r="E222" t="s">
        <v>93</v>
      </c>
      <c r="F222" t="s">
        <v>29</v>
      </c>
      <c r="G222" t="s">
        <v>30</v>
      </c>
      <c r="H222">
        <v>1</v>
      </c>
      <c r="I222">
        <v>4100</v>
      </c>
      <c r="J222" t="s">
        <v>18</v>
      </c>
      <c r="K222" t="s">
        <v>19</v>
      </c>
      <c r="L222" s="5">
        <f t="shared" si="3"/>
        <v>4100</v>
      </c>
    </row>
    <row r="223" spans="1:12" x14ac:dyDescent="0.3">
      <c r="A223" t="s">
        <v>466</v>
      </c>
      <c r="B223" t="s">
        <v>467</v>
      </c>
      <c r="C223" s="2">
        <v>45768</v>
      </c>
      <c r="D223" t="s">
        <v>14</v>
      </c>
      <c r="E223" t="s">
        <v>28</v>
      </c>
      <c r="F223" t="s">
        <v>59</v>
      </c>
      <c r="G223" t="s">
        <v>60</v>
      </c>
      <c r="H223">
        <v>1</v>
      </c>
      <c r="I223">
        <v>950</v>
      </c>
      <c r="J223" t="s">
        <v>41</v>
      </c>
      <c r="K223" t="s">
        <v>69</v>
      </c>
      <c r="L223" s="5">
        <f t="shared" si="3"/>
        <v>950</v>
      </c>
    </row>
    <row r="224" spans="1:12" x14ac:dyDescent="0.3">
      <c r="A224" t="s">
        <v>468</v>
      </c>
      <c r="B224" t="s">
        <v>341</v>
      </c>
      <c r="C224" s="2">
        <v>46019</v>
      </c>
      <c r="D224" t="s">
        <v>14</v>
      </c>
      <c r="E224" t="s">
        <v>51</v>
      </c>
      <c r="F224" t="s">
        <v>23</v>
      </c>
      <c r="G224" t="s">
        <v>193</v>
      </c>
      <c r="H224">
        <v>3</v>
      </c>
      <c r="I224">
        <v>48400</v>
      </c>
      <c r="J224" t="s">
        <v>18</v>
      </c>
      <c r="K224" t="s">
        <v>19</v>
      </c>
      <c r="L224" s="5">
        <f t="shared" si="3"/>
        <v>145200</v>
      </c>
    </row>
    <row r="225" spans="1:12" x14ac:dyDescent="0.3">
      <c r="A225" t="s">
        <v>469</v>
      </c>
      <c r="B225" t="s">
        <v>470</v>
      </c>
      <c r="C225" s="2">
        <v>45743</v>
      </c>
      <c r="D225" t="s">
        <v>33</v>
      </c>
      <c r="E225" t="s">
        <v>34</v>
      </c>
      <c r="F225" t="s">
        <v>29</v>
      </c>
      <c r="G225" t="s">
        <v>100</v>
      </c>
      <c r="H225">
        <v>2</v>
      </c>
      <c r="I225">
        <v>6600</v>
      </c>
      <c r="J225" t="s">
        <v>35</v>
      </c>
      <c r="K225" t="s">
        <v>19</v>
      </c>
      <c r="L225" s="5">
        <f t="shared" si="3"/>
        <v>13200</v>
      </c>
    </row>
    <row r="226" spans="1:12" x14ac:dyDescent="0.3">
      <c r="A226" t="s">
        <v>471</v>
      </c>
      <c r="B226" t="s">
        <v>472</v>
      </c>
      <c r="C226" s="2">
        <v>45900</v>
      </c>
      <c r="D226" t="s">
        <v>14</v>
      </c>
      <c r="E226" t="s">
        <v>51</v>
      </c>
      <c r="F226" t="s">
        <v>39</v>
      </c>
      <c r="G226" t="s">
        <v>40</v>
      </c>
      <c r="H226">
        <v>2</v>
      </c>
      <c r="I226">
        <v>600</v>
      </c>
      <c r="J226" t="s">
        <v>35</v>
      </c>
      <c r="K226" t="s">
        <v>19</v>
      </c>
      <c r="L226" s="5">
        <f t="shared" si="3"/>
        <v>1200</v>
      </c>
    </row>
    <row r="227" spans="1:12" x14ac:dyDescent="0.3">
      <c r="A227" t="s">
        <v>473</v>
      </c>
      <c r="B227" t="s">
        <v>260</v>
      </c>
      <c r="C227" s="2">
        <v>45950</v>
      </c>
      <c r="D227" t="s">
        <v>46</v>
      </c>
      <c r="E227" t="s">
        <v>55</v>
      </c>
      <c r="F227" t="s">
        <v>39</v>
      </c>
      <c r="G227" t="s">
        <v>87</v>
      </c>
      <c r="H227">
        <v>2</v>
      </c>
      <c r="I227">
        <v>4150</v>
      </c>
      <c r="J227" t="s">
        <v>35</v>
      </c>
      <c r="K227" t="s">
        <v>19</v>
      </c>
      <c r="L227" s="5">
        <f t="shared" si="3"/>
        <v>8300</v>
      </c>
    </row>
    <row r="228" spans="1:12" x14ac:dyDescent="0.3">
      <c r="A228" t="s">
        <v>474</v>
      </c>
      <c r="B228" t="s">
        <v>475</v>
      </c>
      <c r="C228" s="2">
        <v>45878</v>
      </c>
      <c r="D228" t="s">
        <v>14</v>
      </c>
      <c r="E228" t="s">
        <v>22</v>
      </c>
      <c r="F228" t="s">
        <v>29</v>
      </c>
      <c r="G228" t="s">
        <v>184</v>
      </c>
      <c r="H228">
        <v>3</v>
      </c>
      <c r="I228">
        <v>3100</v>
      </c>
      <c r="J228" t="s">
        <v>18</v>
      </c>
      <c r="K228" t="s">
        <v>19</v>
      </c>
      <c r="L228" s="5">
        <f t="shared" si="3"/>
        <v>9300</v>
      </c>
    </row>
    <row r="229" spans="1:12" x14ac:dyDescent="0.3">
      <c r="A229" t="s">
        <v>476</v>
      </c>
      <c r="B229" t="s">
        <v>407</v>
      </c>
      <c r="C229" s="2">
        <v>45816</v>
      </c>
      <c r="D229" t="s">
        <v>33</v>
      </c>
      <c r="E229" t="s">
        <v>68</v>
      </c>
      <c r="F229" t="s">
        <v>29</v>
      </c>
      <c r="G229" t="s">
        <v>184</v>
      </c>
      <c r="H229">
        <v>1</v>
      </c>
      <c r="I229">
        <v>5750</v>
      </c>
      <c r="J229" t="s">
        <v>41</v>
      </c>
      <c r="K229" t="s">
        <v>19</v>
      </c>
      <c r="L229" s="5">
        <f t="shared" si="3"/>
        <v>5750</v>
      </c>
    </row>
    <row r="230" spans="1:12" x14ac:dyDescent="0.3">
      <c r="A230" t="s">
        <v>477</v>
      </c>
      <c r="B230" t="s">
        <v>346</v>
      </c>
      <c r="C230" s="2">
        <v>46013</v>
      </c>
      <c r="D230" t="s">
        <v>33</v>
      </c>
      <c r="E230" t="s">
        <v>38</v>
      </c>
      <c r="F230" t="s">
        <v>23</v>
      </c>
      <c r="G230" t="s">
        <v>24</v>
      </c>
      <c r="H230">
        <v>2</v>
      </c>
      <c r="I230">
        <v>10300</v>
      </c>
      <c r="J230" t="s">
        <v>35</v>
      </c>
      <c r="K230" t="s">
        <v>25</v>
      </c>
      <c r="L230" s="5">
        <f t="shared" si="3"/>
        <v>20600</v>
      </c>
    </row>
    <row r="231" spans="1:12" x14ac:dyDescent="0.3">
      <c r="A231" t="s">
        <v>478</v>
      </c>
      <c r="B231" t="s">
        <v>479</v>
      </c>
      <c r="C231" s="2">
        <v>45960</v>
      </c>
      <c r="D231" t="s">
        <v>14</v>
      </c>
      <c r="E231" t="s">
        <v>28</v>
      </c>
      <c r="F231" t="s">
        <v>29</v>
      </c>
      <c r="G231" t="s">
        <v>184</v>
      </c>
      <c r="H231">
        <v>1</v>
      </c>
      <c r="I231">
        <v>6000</v>
      </c>
      <c r="J231" t="s">
        <v>41</v>
      </c>
      <c r="K231" t="s">
        <v>19</v>
      </c>
      <c r="L231" s="5">
        <f t="shared" si="3"/>
        <v>6000</v>
      </c>
    </row>
    <row r="232" spans="1:12" x14ac:dyDescent="0.3">
      <c r="A232" t="s">
        <v>480</v>
      </c>
      <c r="B232" t="s">
        <v>481</v>
      </c>
      <c r="C232" s="2">
        <v>45704</v>
      </c>
      <c r="D232" t="s">
        <v>14</v>
      </c>
      <c r="E232" t="s">
        <v>51</v>
      </c>
      <c r="F232" t="s">
        <v>39</v>
      </c>
      <c r="G232" t="s">
        <v>44</v>
      </c>
      <c r="H232">
        <v>2</v>
      </c>
      <c r="I232">
        <v>4500</v>
      </c>
      <c r="J232" t="s">
        <v>35</v>
      </c>
      <c r="K232" t="s">
        <v>19</v>
      </c>
      <c r="L232" s="5">
        <f t="shared" si="3"/>
        <v>9000</v>
      </c>
    </row>
    <row r="233" spans="1:12" x14ac:dyDescent="0.3">
      <c r="A233" t="s">
        <v>482</v>
      </c>
      <c r="B233" t="s">
        <v>483</v>
      </c>
      <c r="C233" s="2">
        <v>45770</v>
      </c>
      <c r="D233" t="s">
        <v>64</v>
      </c>
      <c r="E233" t="s">
        <v>86</v>
      </c>
      <c r="F233" t="s">
        <v>39</v>
      </c>
      <c r="G233" t="s">
        <v>87</v>
      </c>
      <c r="H233">
        <v>1</v>
      </c>
      <c r="I233">
        <v>6100</v>
      </c>
      <c r="J233" t="s">
        <v>41</v>
      </c>
      <c r="K233" t="s">
        <v>19</v>
      </c>
      <c r="L233" s="5">
        <f t="shared" si="3"/>
        <v>6100</v>
      </c>
    </row>
    <row r="234" spans="1:12" x14ac:dyDescent="0.3">
      <c r="A234" t="s">
        <v>484</v>
      </c>
      <c r="B234" t="s">
        <v>199</v>
      </c>
      <c r="C234" s="2">
        <v>46006</v>
      </c>
      <c r="D234" t="s">
        <v>64</v>
      </c>
      <c r="E234" t="s">
        <v>93</v>
      </c>
      <c r="F234" t="s">
        <v>29</v>
      </c>
      <c r="G234" t="s">
        <v>184</v>
      </c>
      <c r="H234">
        <v>4</v>
      </c>
      <c r="I234">
        <v>2650</v>
      </c>
      <c r="J234" t="s">
        <v>18</v>
      </c>
      <c r="K234" t="s">
        <v>19</v>
      </c>
      <c r="L234" s="5">
        <f t="shared" si="3"/>
        <v>10600</v>
      </c>
    </row>
    <row r="235" spans="1:12" x14ac:dyDescent="0.3">
      <c r="A235" t="s">
        <v>485</v>
      </c>
      <c r="B235" t="s">
        <v>486</v>
      </c>
      <c r="C235" s="2">
        <v>45786</v>
      </c>
      <c r="D235" t="s">
        <v>64</v>
      </c>
      <c r="E235" t="s">
        <v>86</v>
      </c>
      <c r="F235" t="s">
        <v>16</v>
      </c>
      <c r="G235" t="s">
        <v>134</v>
      </c>
      <c r="H235">
        <v>2</v>
      </c>
      <c r="I235">
        <v>8450</v>
      </c>
      <c r="J235" t="s">
        <v>35</v>
      </c>
      <c r="K235" t="s">
        <v>19</v>
      </c>
      <c r="L235" s="5">
        <f t="shared" si="3"/>
        <v>16900</v>
      </c>
    </row>
    <row r="236" spans="1:12" x14ac:dyDescent="0.3">
      <c r="A236" t="s">
        <v>487</v>
      </c>
      <c r="B236" t="s">
        <v>488</v>
      </c>
      <c r="C236" s="2">
        <v>45870</v>
      </c>
      <c r="D236" t="s">
        <v>64</v>
      </c>
      <c r="E236" t="s">
        <v>86</v>
      </c>
      <c r="F236" t="s">
        <v>59</v>
      </c>
      <c r="G236" t="s">
        <v>228</v>
      </c>
      <c r="H236">
        <v>1</v>
      </c>
      <c r="I236">
        <v>1300</v>
      </c>
      <c r="J236" t="s">
        <v>41</v>
      </c>
      <c r="K236" t="s">
        <v>69</v>
      </c>
      <c r="L236" s="5">
        <f t="shared" si="3"/>
        <v>1300</v>
      </c>
    </row>
    <row r="237" spans="1:12" x14ac:dyDescent="0.3">
      <c r="A237" t="s">
        <v>489</v>
      </c>
      <c r="B237" t="s">
        <v>201</v>
      </c>
      <c r="C237" s="2">
        <v>45839</v>
      </c>
      <c r="D237" t="s">
        <v>14</v>
      </c>
      <c r="E237" t="s">
        <v>22</v>
      </c>
      <c r="F237" t="s">
        <v>23</v>
      </c>
      <c r="G237" t="s">
        <v>140</v>
      </c>
      <c r="H237">
        <v>1</v>
      </c>
      <c r="I237">
        <v>17550</v>
      </c>
      <c r="J237" t="s">
        <v>61</v>
      </c>
      <c r="K237" t="s">
        <v>19</v>
      </c>
      <c r="L237" s="5">
        <f t="shared" si="3"/>
        <v>17550</v>
      </c>
    </row>
    <row r="238" spans="1:12" x14ac:dyDescent="0.3">
      <c r="A238" t="s">
        <v>490</v>
      </c>
      <c r="B238" t="s">
        <v>491</v>
      </c>
      <c r="C238" s="2">
        <v>45678</v>
      </c>
      <c r="D238" t="s">
        <v>64</v>
      </c>
      <c r="E238" t="s">
        <v>65</v>
      </c>
      <c r="F238" t="s">
        <v>16</v>
      </c>
      <c r="G238" t="s">
        <v>143</v>
      </c>
      <c r="H238">
        <v>3</v>
      </c>
      <c r="I238">
        <v>1600</v>
      </c>
      <c r="J238" t="s">
        <v>18</v>
      </c>
      <c r="K238" t="s">
        <v>19</v>
      </c>
      <c r="L238" s="5">
        <f t="shared" si="3"/>
        <v>4800</v>
      </c>
    </row>
    <row r="239" spans="1:12" x14ac:dyDescent="0.3">
      <c r="A239" t="s">
        <v>492</v>
      </c>
      <c r="B239" t="s">
        <v>493</v>
      </c>
      <c r="C239" s="2">
        <v>45856</v>
      </c>
      <c r="D239" t="s">
        <v>64</v>
      </c>
      <c r="E239" t="s">
        <v>86</v>
      </c>
      <c r="F239" t="s">
        <v>29</v>
      </c>
      <c r="G239" t="s">
        <v>100</v>
      </c>
      <c r="H239">
        <v>1</v>
      </c>
      <c r="I239">
        <v>7250</v>
      </c>
      <c r="J239" t="s">
        <v>35</v>
      </c>
      <c r="K239" t="s">
        <v>25</v>
      </c>
      <c r="L239" s="5">
        <f t="shared" si="3"/>
        <v>7250</v>
      </c>
    </row>
    <row r="240" spans="1:12" x14ac:dyDescent="0.3">
      <c r="A240" t="s">
        <v>494</v>
      </c>
      <c r="B240" t="s">
        <v>451</v>
      </c>
      <c r="C240" s="2">
        <v>45875</v>
      </c>
      <c r="D240" t="s">
        <v>33</v>
      </c>
      <c r="E240" t="s">
        <v>34</v>
      </c>
      <c r="F240" t="s">
        <v>16</v>
      </c>
      <c r="G240" t="s">
        <v>48</v>
      </c>
      <c r="H240">
        <v>2</v>
      </c>
      <c r="I240">
        <v>5700</v>
      </c>
      <c r="J240" t="s">
        <v>115</v>
      </c>
      <c r="K240" t="s">
        <v>19</v>
      </c>
      <c r="L240" s="5">
        <f t="shared" si="3"/>
        <v>11400</v>
      </c>
    </row>
    <row r="241" spans="1:12" x14ac:dyDescent="0.3">
      <c r="A241" t="s">
        <v>495</v>
      </c>
      <c r="B241" t="s">
        <v>346</v>
      </c>
      <c r="C241" s="2">
        <v>45853</v>
      </c>
      <c r="D241" t="s">
        <v>33</v>
      </c>
      <c r="E241" t="s">
        <v>80</v>
      </c>
      <c r="F241" t="s">
        <v>23</v>
      </c>
      <c r="G241" t="s">
        <v>56</v>
      </c>
      <c r="H241">
        <v>4</v>
      </c>
      <c r="I241">
        <v>61600</v>
      </c>
      <c r="J241" t="s">
        <v>18</v>
      </c>
      <c r="K241" t="s">
        <v>19</v>
      </c>
      <c r="L241" s="5">
        <f t="shared" si="3"/>
        <v>246400</v>
      </c>
    </row>
    <row r="242" spans="1:12" x14ac:dyDescent="0.3">
      <c r="A242" t="s">
        <v>496</v>
      </c>
      <c r="B242" t="s">
        <v>497</v>
      </c>
      <c r="C242" s="2">
        <v>45826</v>
      </c>
      <c r="D242" t="s">
        <v>46</v>
      </c>
      <c r="E242" t="s">
        <v>72</v>
      </c>
      <c r="F242" t="s">
        <v>16</v>
      </c>
      <c r="G242" t="s">
        <v>143</v>
      </c>
      <c r="H242">
        <v>5</v>
      </c>
      <c r="I242">
        <v>5000</v>
      </c>
      <c r="J242" t="s">
        <v>18</v>
      </c>
      <c r="K242" t="s">
        <v>19</v>
      </c>
      <c r="L242" s="5">
        <f t="shared" si="3"/>
        <v>25000</v>
      </c>
    </row>
    <row r="243" spans="1:12" x14ac:dyDescent="0.3">
      <c r="A243" t="s">
        <v>498</v>
      </c>
      <c r="B243" t="s">
        <v>356</v>
      </c>
      <c r="C243" s="2">
        <v>45769</v>
      </c>
      <c r="D243" t="s">
        <v>33</v>
      </c>
      <c r="E243" t="s">
        <v>38</v>
      </c>
      <c r="F243" t="s">
        <v>59</v>
      </c>
      <c r="G243" t="s">
        <v>103</v>
      </c>
      <c r="H243">
        <v>3</v>
      </c>
      <c r="I243">
        <v>1300</v>
      </c>
      <c r="J243" t="s">
        <v>41</v>
      </c>
      <c r="K243" t="s">
        <v>19</v>
      </c>
      <c r="L243" s="5">
        <f t="shared" si="3"/>
        <v>3900</v>
      </c>
    </row>
    <row r="244" spans="1:12" x14ac:dyDescent="0.3">
      <c r="A244" t="s">
        <v>499</v>
      </c>
      <c r="B244" t="s">
        <v>89</v>
      </c>
      <c r="C244" s="2">
        <v>45716</v>
      </c>
      <c r="D244" t="s">
        <v>33</v>
      </c>
      <c r="E244" t="s">
        <v>34</v>
      </c>
      <c r="F244" t="s">
        <v>23</v>
      </c>
      <c r="G244" t="s">
        <v>193</v>
      </c>
      <c r="H244">
        <v>2</v>
      </c>
      <c r="I244">
        <v>30300</v>
      </c>
      <c r="J244" t="s">
        <v>18</v>
      </c>
      <c r="K244" t="s">
        <v>127</v>
      </c>
      <c r="L244" s="5">
        <f t="shared" si="3"/>
        <v>60600</v>
      </c>
    </row>
    <row r="245" spans="1:12" x14ac:dyDescent="0.3">
      <c r="A245" t="s">
        <v>500</v>
      </c>
      <c r="B245" t="s">
        <v>501</v>
      </c>
      <c r="C245" s="2">
        <v>45871</v>
      </c>
      <c r="D245" t="s">
        <v>64</v>
      </c>
      <c r="E245" t="s">
        <v>65</v>
      </c>
      <c r="F245" t="s">
        <v>16</v>
      </c>
      <c r="G245" t="s">
        <v>81</v>
      </c>
      <c r="H245">
        <v>3</v>
      </c>
      <c r="I245">
        <v>3200</v>
      </c>
      <c r="J245" t="s">
        <v>41</v>
      </c>
      <c r="K245" t="s">
        <v>19</v>
      </c>
      <c r="L245" s="5">
        <f t="shared" si="3"/>
        <v>9600</v>
      </c>
    </row>
    <row r="246" spans="1:12" x14ac:dyDescent="0.3">
      <c r="A246" t="s">
        <v>502</v>
      </c>
      <c r="B246" t="s">
        <v>503</v>
      </c>
      <c r="C246" s="2">
        <v>45723</v>
      </c>
      <c r="D246" t="s">
        <v>64</v>
      </c>
      <c r="E246" t="s">
        <v>65</v>
      </c>
      <c r="F246" t="s">
        <v>23</v>
      </c>
      <c r="G246" t="s">
        <v>137</v>
      </c>
      <c r="H246">
        <v>1</v>
      </c>
      <c r="I246">
        <v>56700</v>
      </c>
      <c r="J246" t="s">
        <v>41</v>
      </c>
      <c r="K246" t="s">
        <v>25</v>
      </c>
      <c r="L246" s="5">
        <f t="shared" si="3"/>
        <v>56700</v>
      </c>
    </row>
    <row r="247" spans="1:12" x14ac:dyDescent="0.3">
      <c r="A247" t="s">
        <v>504</v>
      </c>
      <c r="B247" t="s">
        <v>370</v>
      </c>
      <c r="C247" s="2">
        <v>45835</v>
      </c>
      <c r="D247" t="s">
        <v>46</v>
      </c>
      <c r="E247" t="s">
        <v>75</v>
      </c>
      <c r="F247" t="s">
        <v>23</v>
      </c>
      <c r="G247" t="s">
        <v>24</v>
      </c>
      <c r="H247">
        <v>3</v>
      </c>
      <c r="I247">
        <v>25800</v>
      </c>
      <c r="J247" t="s">
        <v>41</v>
      </c>
      <c r="K247" t="s">
        <v>19</v>
      </c>
      <c r="L247" s="5">
        <f t="shared" si="3"/>
        <v>77400</v>
      </c>
    </row>
    <row r="248" spans="1:12" x14ac:dyDescent="0.3">
      <c r="A248" t="s">
        <v>505</v>
      </c>
      <c r="B248" t="s">
        <v>506</v>
      </c>
      <c r="C248" s="2">
        <v>45729</v>
      </c>
      <c r="D248" t="s">
        <v>46</v>
      </c>
      <c r="E248" t="s">
        <v>55</v>
      </c>
      <c r="F248" t="s">
        <v>23</v>
      </c>
      <c r="G248" t="s">
        <v>137</v>
      </c>
      <c r="H248">
        <v>1</v>
      </c>
      <c r="I248">
        <v>12700</v>
      </c>
      <c r="J248" t="s">
        <v>18</v>
      </c>
      <c r="K248" t="s">
        <v>19</v>
      </c>
      <c r="L248" s="5">
        <f t="shared" si="3"/>
        <v>12700</v>
      </c>
    </row>
    <row r="249" spans="1:12" x14ac:dyDescent="0.3">
      <c r="A249" t="s">
        <v>507</v>
      </c>
      <c r="B249" t="s">
        <v>508</v>
      </c>
      <c r="C249" s="2">
        <v>45771</v>
      </c>
      <c r="D249" t="s">
        <v>14</v>
      </c>
      <c r="E249" t="s">
        <v>15</v>
      </c>
      <c r="F249" t="s">
        <v>59</v>
      </c>
      <c r="G249" t="s">
        <v>322</v>
      </c>
      <c r="H249">
        <v>1</v>
      </c>
      <c r="I249">
        <v>2900</v>
      </c>
      <c r="J249" t="s">
        <v>35</v>
      </c>
      <c r="K249" t="s">
        <v>19</v>
      </c>
      <c r="L249" s="5">
        <f t="shared" si="3"/>
        <v>2900</v>
      </c>
    </row>
    <row r="250" spans="1:12" x14ac:dyDescent="0.3">
      <c r="A250" t="s">
        <v>509</v>
      </c>
      <c r="B250" t="s">
        <v>510</v>
      </c>
      <c r="C250" s="2">
        <v>45903</v>
      </c>
      <c r="D250" t="s">
        <v>64</v>
      </c>
      <c r="E250" t="s">
        <v>93</v>
      </c>
      <c r="F250" t="s">
        <v>23</v>
      </c>
      <c r="G250" t="s">
        <v>56</v>
      </c>
      <c r="H250">
        <v>3</v>
      </c>
      <c r="I250">
        <v>12550</v>
      </c>
      <c r="J250" t="s">
        <v>35</v>
      </c>
      <c r="K250" t="s">
        <v>19</v>
      </c>
      <c r="L250" s="5">
        <f t="shared" si="3"/>
        <v>37650</v>
      </c>
    </row>
    <row r="251" spans="1:12" x14ac:dyDescent="0.3">
      <c r="A251" t="s">
        <v>511</v>
      </c>
      <c r="B251" t="s">
        <v>512</v>
      </c>
      <c r="C251" s="2">
        <v>45926</v>
      </c>
      <c r="D251" t="s">
        <v>64</v>
      </c>
      <c r="E251" t="s">
        <v>86</v>
      </c>
      <c r="F251" t="s">
        <v>39</v>
      </c>
      <c r="G251" t="s">
        <v>146</v>
      </c>
      <c r="H251">
        <v>5</v>
      </c>
      <c r="I251">
        <v>3550</v>
      </c>
      <c r="J251" t="s">
        <v>41</v>
      </c>
      <c r="K251" t="s">
        <v>19</v>
      </c>
      <c r="L251" s="5">
        <f t="shared" si="3"/>
        <v>17750</v>
      </c>
    </row>
    <row r="252" spans="1:12" x14ac:dyDescent="0.3">
      <c r="A252" t="s">
        <v>513</v>
      </c>
      <c r="B252" t="s">
        <v>242</v>
      </c>
      <c r="C252" s="2">
        <v>45938</v>
      </c>
      <c r="D252" t="s">
        <v>46</v>
      </c>
      <c r="E252" t="s">
        <v>72</v>
      </c>
      <c r="F252" t="s">
        <v>16</v>
      </c>
      <c r="G252" t="s">
        <v>134</v>
      </c>
      <c r="H252">
        <v>1</v>
      </c>
      <c r="I252">
        <v>6000</v>
      </c>
      <c r="J252" t="s">
        <v>35</v>
      </c>
      <c r="K252" t="s">
        <v>19</v>
      </c>
      <c r="L252" s="5">
        <f t="shared" si="3"/>
        <v>6000</v>
      </c>
    </row>
    <row r="253" spans="1:12" x14ac:dyDescent="0.3">
      <c r="A253" t="s">
        <v>514</v>
      </c>
      <c r="B253" t="s">
        <v>285</v>
      </c>
      <c r="C253" s="2">
        <v>45868</v>
      </c>
      <c r="D253" t="s">
        <v>14</v>
      </c>
      <c r="E253" t="s">
        <v>51</v>
      </c>
      <c r="F253" t="s">
        <v>39</v>
      </c>
      <c r="G253" t="s">
        <v>40</v>
      </c>
      <c r="H253">
        <v>1</v>
      </c>
      <c r="I253">
        <v>9750</v>
      </c>
      <c r="J253" t="s">
        <v>18</v>
      </c>
      <c r="K253" t="s">
        <v>69</v>
      </c>
      <c r="L253" s="5">
        <f t="shared" si="3"/>
        <v>9750</v>
      </c>
    </row>
    <row r="254" spans="1:12" x14ac:dyDescent="0.3">
      <c r="A254" t="s">
        <v>515</v>
      </c>
      <c r="B254" t="s">
        <v>516</v>
      </c>
      <c r="C254" s="2">
        <v>45943</v>
      </c>
      <c r="D254" t="s">
        <v>33</v>
      </c>
      <c r="E254" t="s">
        <v>68</v>
      </c>
      <c r="F254" t="s">
        <v>59</v>
      </c>
      <c r="G254" t="s">
        <v>103</v>
      </c>
      <c r="H254">
        <v>1</v>
      </c>
      <c r="I254">
        <v>3350</v>
      </c>
      <c r="J254" t="s">
        <v>18</v>
      </c>
      <c r="K254" t="s">
        <v>127</v>
      </c>
      <c r="L254" s="5">
        <f t="shared" si="3"/>
        <v>3350</v>
      </c>
    </row>
    <row r="255" spans="1:12" x14ac:dyDescent="0.3">
      <c r="A255" t="s">
        <v>517</v>
      </c>
      <c r="B255" t="s">
        <v>119</v>
      </c>
      <c r="C255" s="2">
        <v>45995</v>
      </c>
      <c r="D255" t="s">
        <v>14</v>
      </c>
      <c r="E255" t="s">
        <v>22</v>
      </c>
      <c r="F255" t="s">
        <v>23</v>
      </c>
      <c r="G255" t="s">
        <v>137</v>
      </c>
      <c r="H255">
        <v>1</v>
      </c>
      <c r="I255">
        <v>7150</v>
      </c>
      <c r="J255" t="s">
        <v>18</v>
      </c>
      <c r="K255" t="s">
        <v>19</v>
      </c>
      <c r="L255" s="5">
        <f t="shared" si="3"/>
        <v>7150</v>
      </c>
    </row>
    <row r="256" spans="1:12" x14ac:dyDescent="0.3">
      <c r="A256" t="s">
        <v>518</v>
      </c>
      <c r="B256" t="s">
        <v>232</v>
      </c>
      <c r="C256" s="2">
        <v>45946</v>
      </c>
      <c r="D256" t="s">
        <v>33</v>
      </c>
      <c r="E256" t="s">
        <v>34</v>
      </c>
      <c r="F256" t="s">
        <v>59</v>
      </c>
      <c r="G256" t="s">
        <v>103</v>
      </c>
      <c r="H256">
        <v>3</v>
      </c>
      <c r="I256">
        <v>1900</v>
      </c>
      <c r="J256" t="s">
        <v>41</v>
      </c>
      <c r="K256" t="s">
        <v>25</v>
      </c>
      <c r="L256" s="5">
        <f t="shared" si="3"/>
        <v>5700</v>
      </c>
    </row>
    <row r="257" spans="1:12" x14ac:dyDescent="0.3">
      <c r="A257" t="s">
        <v>519</v>
      </c>
      <c r="B257" t="s">
        <v>520</v>
      </c>
      <c r="C257" s="2">
        <v>45904</v>
      </c>
      <c r="D257" t="s">
        <v>14</v>
      </c>
      <c r="E257" t="s">
        <v>15</v>
      </c>
      <c r="F257" t="s">
        <v>23</v>
      </c>
      <c r="G257" t="s">
        <v>193</v>
      </c>
      <c r="H257">
        <v>2</v>
      </c>
      <c r="I257">
        <v>950</v>
      </c>
      <c r="J257" t="s">
        <v>18</v>
      </c>
      <c r="K257" t="s">
        <v>19</v>
      </c>
      <c r="L257" s="5">
        <f t="shared" si="3"/>
        <v>1900</v>
      </c>
    </row>
    <row r="258" spans="1:12" x14ac:dyDescent="0.3">
      <c r="A258" t="s">
        <v>521</v>
      </c>
      <c r="B258" t="s">
        <v>522</v>
      </c>
      <c r="C258" s="2">
        <v>45959</v>
      </c>
      <c r="D258" t="s">
        <v>64</v>
      </c>
      <c r="E258" t="s">
        <v>99</v>
      </c>
      <c r="F258" t="s">
        <v>23</v>
      </c>
      <c r="G258" t="s">
        <v>24</v>
      </c>
      <c r="H258">
        <v>1</v>
      </c>
      <c r="I258">
        <v>14550</v>
      </c>
      <c r="J258" t="s">
        <v>18</v>
      </c>
      <c r="K258" t="s">
        <v>19</v>
      </c>
      <c r="L258" s="5">
        <f t="shared" si="3"/>
        <v>14550</v>
      </c>
    </row>
    <row r="259" spans="1:12" x14ac:dyDescent="0.3">
      <c r="A259" t="s">
        <v>523</v>
      </c>
      <c r="B259" t="s">
        <v>285</v>
      </c>
      <c r="C259" s="2">
        <v>45908</v>
      </c>
      <c r="D259" t="s">
        <v>46</v>
      </c>
      <c r="E259" t="s">
        <v>72</v>
      </c>
      <c r="F259" t="s">
        <v>59</v>
      </c>
      <c r="G259" t="s">
        <v>228</v>
      </c>
      <c r="H259">
        <v>1</v>
      </c>
      <c r="I259">
        <v>4100</v>
      </c>
      <c r="J259" t="s">
        <v>61</v>
      </c>
      <c r="K259" t="s">
        <v>19</v>
      </c>
      <c r="L259" s="5">
        <f t="shared" ref="L259:L322" si="4">H259*I259</f>
        <v>4100</v>
      </c>
    </row>
    <row r="260" spans="1:12" x14ac:dyDescent="0.3">
      <c r="A260" t="s">
        <v>524</v>
      </c>
      <c r="B260" t="s">
        <v>173</v>
      </c>
      <c r="C260" s="2">
        <v>45687</v>
      </c>
      <c r="D260" t="s">
        <v>14</v>
      </c>
      <c r="E260" t="s">
        <v>15</v>
      </c>
      <c r="F260" t="s">
        <v>23</v>
      </c>
      <c r="G260" t="s">
        <v>24</v>
      </c>
      <c r="H260">
        <v>1</v>
      </c>
      <c r="I260">
        <v>25100</v>
      </c>
      <c r="J260" t="s">
        <v>41</v>
      </c>
      <c r="K260" t="s">
        <v>19</v>
      </c>
      <c r="L260" s="5">
        <f t="shared" si="4"/>
        <v>25100</v>
      </c>
    </row>
    <row r="261" spans="1:12" x14ac:dyDescent="0.3">
      <c r="A261" t="s">
        <v>525</v>
      </c>
      <c r="B261" t="s">
        <v>188</v>
      </c>
      <c r="C261" s="2">
        <v>45767</v>
      </c>
      <c r="D261" t="s">
        <v>33</v>
      </c>
      <c r="E261" t="s">
        <v>80</v>
      </c>
      <c r="F261" t="s">
        <v>59</v>
      </c>
      <c r="G261" t="s">
        <v>60</v>
      </c>
      <c r="H261">
        <v>1</v>
      </c>
      <c r="I261">
        <v>2200</v>
      </c>
      <c r="J261" t="s">
        <v>115</v>
      </c>
      <c r="K261" t="s">
        <v>19</v>
      </c>
      <c r="L261" s="5">
        <f t="shared" si="4"/>
        <v>2200</v>
      </c>
    </row>
    <row r="262" spans="1:12" x14ac:dyDescent="0.3">
      <c r="A262" t="s">
        <v>526</v>
      </c>
      <c r="B262" t="s">
        <v>527</v>
      </c>
      <c r="C262" s="2">
        <v>45778</v>
      </c>
      <c r="D262" t="s">
        <v>64</v>
      </c>
      <c r="E262" t="s">
        <v>65</v>
      </c>
      <c r="F262" t="s">
        <v>39</v>
      </c>
      <c r="G262" t="s">
        <v>40</v>
      </c>
      <c r="H262">
        <v>4</v>
      </c>
      <c r="I262">
        <v>650</v>
      </c>
      <c r="J262" t="s">
        <v>35</v>
      </c>
      <c r="K262" t="s">
        <v>19</v>
      </c>
      <c r="L262" s="5">
        <f t="shared" si="4"/>
        <v>2600</v>
      </c>
    </row>
    <row r="263" spans="1:12" x14ac:dyDescent="0.3">
      <c r="A263" t="s">
        <v>528</v>
      </c>
      <c r="B263" t="s">
        <v>21</v>
      </c>
      <c r="C263" s="2">
        <v>45965</v>
      </c>
      <c r="D263" t="s">
        <v>14</v>
      </c>
      <c r="E263" t="s">
        <v>22</v>
      </c>
      <c r="F263" t="s">
        <v>16</v>
      </c>
      <c r="G263" t="s">
        <v>134</v>
      </c>
      <c r="H263">
        <v>1</v>
      </c>
      <c r="I263">
        <v>1300</v>
      </c>
      <c r="J263" t="s">
        <v>18</v>
      </c>
      <c r="K263" t="s">
        <v>19</v>
      </c>
      <c r="L263" s="5">
        <f t="shared" si="4"/>
        <v>1300</v>
      </c>
    </row>
    <row r="264" spans="1:12" x14ac:dyDescent="0.3">
      <c r="A264" t="s">
        <v>529</v>
      </c>
      <c r="B264" t="s">
        <v>37</v>
      </c>
      <c r="C264" s="2">
        <v>45659</v>
      </c>
      <c r="D264" t="s">
        <v>14</v>
      </c>
      <c r="E264" t="s">
        <v>51</v>
      </c>
      <c r="F264" t="s">
        <v>16</v>
      </c>
      <c r="G264" t="s">
        <v>81</v>
      </c>
      <c r="H264">
        <v>2</v>
      </c>
      <c r="I264">
        <v>2850</v>
      </c>
      <c r="J264" t="s">
        <v>18</v>
      </c>
      <c r="K264" t="s">
        <v>69</v>
      </c>
      <c r="L264" s="5">
        <f t="shared" si="4"/>
        <v>5700</v>
      </c>
    </row>
    <row r="265" spans="1:12" x14ac:dyDescent="0.3">
      <c r="A265" t="s">
        <v>530</v>
      </c>
      <c r="B265" t="s">
        <v>234</v>
      </c>
      <c r="C265" s="2">
        <v>45924</v>
      </c>
      <c r="D265" t="s">
        <v>46</v>
      </c>
      <c r="E265" t="s">
        <v>72</v>
      </c>
      <c r="F265" t="s">
        <v>29</v>
      </c>
      <c r="G265" t="s">
        <v>100</v>
      </c>
      <c r="H265">
        <v>1</v>
      </c>
      <c r="I265">
        <v>1000</v>
      </c>
      <c r="J265" t="s">
        <v>35</v>
      </c>
      <c r="K265" t="s">
        <v>19</v>
      </c>
      <c r="L265" s="5">
        <f t="shared" si="4"/>
        <v>1000</v>
      </c>
    </row>
    <row r="266" spans="1:12" x14ac:dyDescent="0.3">
      <c r="A266" t="s">
        <v>531</v>
      </c>
      <c r="B266" t="s">
        <v>291</v>
      </c>
      <c r="C266" s="2">
        <v>45981</v>
      </c>
      <c r="D266" t="s">
        <v>33</v>
      </c>
      <c r="E266" t="s">
        <v>80</v>
      </c>
      <c r="F266" t="s">
        <v>39</v>
      </c>
      <c r="G266" t="s">
        <v>40</v>
      </c>
      <c r="H266">
        <v>3</v>
      </c>
      <c r="I266">
        <v>1100</v>
      </c>
      <c r="J266" t="s">
        <v>41</v>
      </c>
      <c r="K266" t="s">
        <v>19</v>
      </c>
      <c r="L266" s="5">
        <f t="shared" si="4"/>
        <v>3300</v>
      </c>
    </row>
    <row r="267" spans="1:12" x14ac:dyDescent="0.3">
      <c r="A267" t="s">
        <v>532</v>
      </c>
      <c r="B267" t="s">
        <v>533</v>
      </c>
      <c r="C267" s="2">
        <v>45704</v>
      </c>
      <c r="D267" t="s">
        <v>46</v>
      </c>
      <c r="E267" t="s">
        <v>75</v>
      </c>
      <c r="F267" t="s">
        <v>39</v>
      </c>
      <c r="G267" t="s">
        <v>40</v>
      </c>
      <c r="H267">
        <v>2</v>
      </c>
      <c r="I267">
        <v>750</v>
      </c>
      <c r="J267" t="s">
        <v>18</v>
      </c>
      <c r="K267" t="s">
        <v>69</v>
      </c>
      <c r="L267" s="5">
        <f t="shared" si="4"/>
        <v>1500</v>
      </c>
    </row>
    <row r="268" spans="1:12" x14ac:dyDescent="0.3">
      <c r="A268" t="s">
        <v>534</v>
      </c>
      <c r="B268" t="s">
        <v>535</v>
      </c>
      <c r="C268" s="2">
        <v>45789</v>
      </c>
      <c r="D268" t="s">
        <v>46</v>
      </c>
      <c r="E268" t="s">
        <v>75</v>
      </c>
      <c r="F268" t="s">
        <v>23</v>
      </c>
      <c r="G268" t="s">
        <v>24</v>
      </c>
      <c r="H268">
        <v>4</v>
      </c>
      <c r="I268">
        <v>11650</v>
      </c>
      <c r="J268" t="s">
        <v>41</v>
      </c>
      <c r="K268" t="s">
        <v>127</v>
      </c>
      <c r="L268" s="5">
        <f t="shared" si="4"/>
        <v>46600</v>
      </c>
    </row>
    <row r="269" spans="1:12" x14ac:dyDescent="0.3">
      <c r="A269" t="s">
        <v>536</v>
      </c>
      <c r="B269" t="s">
        <v>458</v>
      </c>
      <c r="C269" s="2">
        <v>46018</v>
      </c>
      <c r="D269" t="s">
        <v>14</v>
      </c>
      <c r="E269" t="s">
        <v>22</v>
      </c>
      <c r="F269" t="s">
        <v>29</v>
      </c>
      <c r="G269" t="s">
        <v>30</v>
      </c>
      <c r="H269">
        <v>5</v>
      </c>
      <c r="I269">
        <v>6400</v>
      </c>
      <c r="J269" t="s">
        <v>18</v>
      </c>
      <c r="K269" t="s">
        <v>19</v>
      </c>
      <c r="L269" s="5">
        <f t="shared" si="4"/>
        <v>32000</v>
      </c>
    </row>
    <row r="270" spans="1:12" x14ac:dyDescent="0.3">
      <c r="A270" t="s">
        <v>537</v>
      </c>
      <c r="B270" t="s">
        <v>538</v>
      </c>
      <c r="C270" s="2">
        <v>45750</v>
      </c>
      <c r="D270" t="s">
        <v>14</v>
      </c>
      <c r="E270" t="s">
        <v>51</v>
      </c>
      <c r="F270" t="s">
        <v>29</v>
      </c>
      <c r="G270" t="s">
        <v>100</v>
      </c>
      <c r="H270">
        <v>1</v>
      </c>
      <c r="I270">
        <v>4000</v>
      </c>
      <c r="J270" t="s">
        <v>18</v>
      </c>
      <c r="K270" t="s">
        <v>19</v>
      </c>
      <c r="L270" s="5">
        <f t="shared" si="4"/>
        <v>4000</v>
      </c>
    </row>
    <row r="271" spans="1:12" x14ac:dyDescent="0.3">
      <c r="A271" t="s">
        <v>539</v>
      </c>
      <c r="B271" t="s">
        <v>456</v>
      </c>
      <c r="C271" s="2">
        <v>45959</v>
      </c>
      <c r="D271" t="s">
        <v>14</v>
      </c>
      <c r="E271" t="s">
        <v>28</v>
      </c>
      <c r="F271" t="s">
        <v>16</v>
      </c>
      <c r="G271" t="s">
        <v>81</v>
      </c>
      <c r="H271">
        <v>1</v>
      </c>
      <c r="I271">
        <v>4150</v>
      </c>
      <c r="J271" t="s">
        <v>41</v>
      </c>
      <c r="K271" t="s">
        <v>19</v>
      </c>
      <c r="L271" s="5">
        <f t="shared" si="4"/>
        <v>4150</v>
      </c>
    </row>
    <row r="272" spans="1:12" x14ac:dyDescent="0.3">
      <c r="A272" t="s">
        <v>540</v>
      </c>
      <c r="B272" t="s">
        <v>491</v>
      </c>
      <c r="C272" s="2">
        <v>45967</v>
      </c>
      <c r="D272" t="s">
        <v>46</v>
      </c>
      <c r="E272" t="s">
        <v>75</v>
      </c>
      <c r="F272" t="s">
        <v>23</v>
      </c>
      <c r="G272" t="s">
        <v>24</v>
      </c>
      <c r="H272">
        <v>3</v>
      </c>
      <c r="I272">
        <v>22500</v>
      </c>
      <c r="J272" t="s">
        <v>41</v>
      </c>
      <c r="K272" t="s">
        <v>19</v>
      </c>
      <c r="L272" s="5">
        <f t="shared" si="4"/>
        <v>67500</v>
      </c>
    </row>
    <row r="273" spans="1:12" x14ac:dyDescent="0.3">
      <c r="A273" t="s">
        <v>541</v>
      </c>
      <c r="B273" t="s">
        <v>283</v>
      </c>
      <c r="C273" s="2">
        <v>45696</v>
      </c>
      <c r="D273" t="s">
        <v>64</v>
      </c>
      <c r="E273" t="s">
        <v>99</v>
      </c>
      <c r="F273" t="s">
        <v>39</v>
      </c>
      <c r="G273" t="s">
        <v>146</v>
      </c>
      <c r="H273">
        <v>1</v>
      </c>
      <c r="I273">
        <v>6350</v>
      </c>
      <c r="J273" t="s">
        <v>18</v>
      </c>
      <c r="K273" t="s">
        <v>19</v>
      </c>
      <c r="L273" s="5">
        <f t="shared" si="4"/>
        <v>6350</v>
      </c>
    </row>
    <row r="274" spans="1:12" x14ac:dyDescent="0.3">
      <c r="A274" t="s">
        <v>542</v>
      </c>
      <c r="B274" t="s">
        <v>543</v>
      </c>
      <c r="C274" s="2">
        <v>45729</v>
      </c>
      <c r="D274" t="s">
        <v>14</v>
      </c>
      <c r="E274" t="s">
        <v>28</v>
      </c>
      <c r="F274" t="s">
        <v>16</v>
      </c>
      <c r="G274" t="s">
        <v>81</v>
      </c>
      <c r="H274">
        <v>1</v>
      </c>
      <c r="I274">
        <v>1400</v>
      </c>
      <c r="J274" t="s">
        <v>41</v>
      </c>
      <c r="K274" t="s">
        <v>19</v>
      </c>
      <c r="L274" s="5">
        <f t="shared" si="4"/>
        <v>1400</v>
      </c>
    </row>
    <row r="275" spans="1:12" x14ac:dyDescent="0.3">
      <c r="A275" t="s">
        <v>544</v>
      </c>
      <c r="B275" t="s">
        <v>343</v>
      </c>
      <c r="C275" s="2">
        <v>45810</v>
      </c>
      <c r="D275" t="s">
        <v>14</v>
      </c>
      <c r="E275" t="s">
        <v>51</v>
      </c>
      <c r="F275" t="s">
        <v>39</v>
      </c>
      <c r="G275" t="s">
        <v>52</v>
      </c>
      <c r="H275">
        <v>3</v>
      </c>
      <c r="I275">
        <v>3450</v>
      </c>
      <c r="J275" t="s">
        <v>115</v>
      </c>
      <c r="K275" t="s">
        <v>127</v>
      </c>
      <c r="L275" s="5">
        <f t="shared" si="4"/>
        <v>10350</v>
      </c>
    </row>
    <row r="276" spans="1:12" x14ac:dyDescent="0.3">
      <c r="A276" t="s">
        <v>545</v>
      </c>
      <c r="B276" t="s">
        <v>209</v>
      </c>
      <c r="C276" s="2">
        <v>45739</v>
      </c>
      <c r="D276" t="s">
        <v>46</v>
      </c>
      <c r="E276" t="s">
        <v>75</v>
      </c>
      <c r="F276" t="s">
        <v>29</v>
      </c>
      <c r="G276" t="s">
        <v>184</v>
      </c>
      <c r="H276">
        <v>2</v>
      </c>
      <c r="I276">
        <v>5000</v>
      </c>
      <c r="J276" t="s">
        <v>18</v>
      </c>
      <c r="K276" t="s">
        <v>19</v>
      </c>
      <c r="L276" s="5">
        <f t="shared" si="4"/>
        <v>10000</v>
      </c>
    </row>
    <row r="277" spans="1:12" x14ac:dyDescent="0.3">
      <c r="A277" t="s">
        <v>546</v>
      </c>
      <c r="B277" t="s">
        <v>547</v>
      </c>
      <c r="C277" s="2">
        <v>45942</v>
      </c>
      <c r="D277" t="s">
        <v>33</v>
      </c>
      <c r="E277" t="s">
        <v>80</v>
      </c>
      <c r="F277" t="s">
        <v>23</v>
      </c>
      <c r="G277" t="s">
        <v>140</v>
      </c>
      <c r="H277">
        <v>1</v>
      </c>
      <c r="I277">
        <v>5250</v>
      </c>
      <c r="J277" t="s">
        <v>18</v>
      </c>
      <c r="K277" t="s">
        <v>69</v>
      </c>
      <c r="L277" s="5">
        <f t="shared" si="4"/>
        <v>5250</v>
      </c>
    </row>
    <row r="278" spans="1:12" x14ac:dyDescent="0.3">
      <c r="A278" t="s">
        <v>548</v>
      </c>
      <c r="B278" t="s">
        <v>549</v>
      </c>
      <c r="C278" s="2">
        <v>45916</v>
      </c>
      <c r="D278" t="s">
        <v>46</v>
      </c>
      <c r="E278" t="s">
        <v>75</v>
      </c>
      <c r="F278" t="s">
        <v>29</v>
      </c>
      <c r="G278" t="s">
        <v>90</v>
      </c>
      <c r="H278">
        <v>2</v>
      </c>
      <c r="I278">
        <v>500</v>
      </c>
      <c r="J278" t="s">
        <v>61</v>
      </c>
      <c r="K278" t="s">
        <v>19</v>
      </c>
      <c r="L278" s="5">
        <f t="shared" si="4"/>
        <v>1000</v>
      </c>
    </row>
    <row r="279" spans="1:12" x14ac:dyDescent="0.3">
      <c r="A279" t="s">
        <v>550</v>
      </c>
      <c r="B279" t="s">
        <v>551</v>
      </c>
      <c r="C279" s="2">
        <v>45892</v>
      </c>
      <c r="D279" t="s">
        <v>64</v>
      </c>
      <c r="E279" t="s">
        <v>99</v>
      </c>
      <c r="F279" t="s">
        <v>59</v>
      </c>
      <c r="G279" t="s">
        <v>60</v>
      </c>
      <c r="H279">
        <v>2</v>
      </c>
      <c r="I279">
        <v>500</v>
      </c>
      <c r="J279" t="s">
        <v>18</v>
      </c>
      <c r="K279" t="s">
        <v>19</v>
      </c>
      <c r="L279" s="5">
        <f t="shared" si="4"/>
        <v>1000</v>
      </c>
    </row>
    <row r="280" spans="1:12" x14ac:dyDescent="0.3">
      <c r="A280" t="s">
        <v>552</v>
      </c>
      <c r="B280" t="s">
        <v>89</v>
      </c>
      <c r="C280" s="2">
        <v>45941</v>
      </c>
      <c r="D280" t="s">
        <v>33</v>
      </c>
      <c r="E280" t="s">
        <v>80</v>
      </c>
      <c r="F280" t="s">
        <v>16</v>
      </c>
      <c r="G280" t="s">
        <v>17</v>
      </c>
      <c r="H280">
        <v>2</v>
      </c>
      <c r="I280">
        <v>1350</v>
      </c>
      <c r="J280" t="s">
        <v>18</v>
      </c>
      <c r="K280" t="s">
        <v>19</v>
      </c>
      <c r="L280" s="5">
        <f t="shared" si="4"/>
        <v>2700</v>
      </c>
    </row>
    <row r="281" spans="1:12" x14ac:dyDescent="0.3">
      <c r="A281" t="s">
        <v>553</v>
      </c>
      <c r="B281" t="s">
        <v>258</v>
      </c>
      <c r="C281" s="2">
        <v>46011</v>
      </c>
      <c r="D281" t="s">
        <v>33</v>
      </c>
      <c r="E281" t="s">
        <v>68</v>
      </c>
      <c r="F281" t="s">
        <v>16</v>
      </c>
      <c r="G281" t="s">
        <v>81</v>
      </c>
      <c r="H281">
        <v>2</v>
      </c>
      <c r="I281">
        <v>950</v>
      </c>
      <c r="J281" t="s">
        <v>61</v>
      </c>
      <c r="K281" t="s">
        <v>19</v>
      </c>
      <c r="L281" s="5">
        <f t="shared" si="4"/>
        <v>1900</v>
      </c>
    </row>
    <row r="282" spans="1:12" x14ac:dyDescent="0.3">
      <c r="A282" t="s">
        <v>554</v>
      </c>
      <c r="B282" t="s">
        <v>555</v>
      </c>
      <c r="C282" s="2">
        <v>45775</v>
      </c>
      <c r="D282" t="s">
        <v>46</v>
      </c>
      <c r="E282" t="s">
        <v>72</v>
      </c>
      <c r="F282" t="s">
        <v>16</v>
      </c>
      <c r="G282" t="s">
        <v>81</v>
      </c>
      <c r="H282">
        <v>1</v>
      </c>
      <c r="I282">
        <v>6900</v>
      </c>
      <c r="J282" t="s">
        <v>61</v>
      </c>
      <c r="K282" t="s">
        <v>19</v>
      </c>
      <c r="L282" s="5">
        <f t="shared" si="4"/>
        <v>6900</v>
      </c>
    </row>
    <row r="283" spans="1:12" x14ac:dyDescent="0.3">
      <c r="A283" t="s">
        <v>556</v>
      </c>
      <c r="B283" t="s">
        <v>557</v>
      </c>
      <c r="C283" s="2">
        <v>45704</v>
      </c>
      <c r="D283" t="s">
        <v>33</v>
      </c>
      <c r="E283" t="s">
        <v>38</v>
      </c>
      <c r="F283" t="s">
        <v>59</v>
      </c>
      <c r="G283" t="s">
        <v>103</v>
      </c>
      <c r="H283">
        <v>1</v>
      </c>
      <c r="I283">
        <v>1000</v>
      </c>
      <c r="J283" t="s">
        <v>18</v>
      </c>
      <c r="K283" t="s">
        <v>69</v>
      </c>
      <c r="L283" s="5">
        <f t="shared" si="4"/>
        <v>1000</v>
      </c>
    </row>
    <row r="284" spans="1:12" x14ac:dyDescent="0.3">
      <c r="A284" t="s">
        <v>558</v>
      </c>
      <c r="B284" t="s">
        <v>295</v>
      </c>
      <c r="C284" s="2">
        <v>45951</v>
      </c>
      <c r="D284" t="s">
        <v>33</v>
      </c>
      <c r="E284" t="s">
        <v>38</v>
      </c>
      <c r="F284" t="s">
        <v>23</v>
      </c>
      <c r="G284" t="s">
        <v>137</v>
      </c>
      <c r="H284">
        <v>1</v>
      </c>
      <c r="I284">
        <v>41650</v>
      </c>
      <c r="J284" t="s">
        <v>18</v>
      </c>
      <c r="K284" t="s">
        <v>19</v>
      </c>
      <c r="L284" s="5">
        <f t="shared" si="4"/>
        <v>41650</v>
      </c>
    </row>
    <row r="285" spans="1:12" x14ac:dyDescent="0.3">
      <c r="A285" t="s">
        <v>559</v>
      </c>
      <c r="B285" t="s">
        <v>560</v>
      </c>
      <c r="C285" s="2">
        <v>46001</v>
      </c>
      <c r="D285" t="s">
        <v>46</v>
      </c>
      <c r="E285" t="s">
        <v>55</v>
      </c>
      <c r="F285" t="s">
        <v>39</v>
      </c>
      <c r="G285" t="s">
        <v>40</v>
      </c>
      <c r="H285">
        <v>1</v>
      </c>
      <c r="I285">
        <v>9900</v>
      </c>
      <c r="J285" t="s">
        <v>35</v>
      </c>
      <c r="K285" t="s">
        <v>19</v>
      </c>
      <c r="L285" s="5">
        <f t="shared" si="4"/>
        <v>9900</v>
      </c>
    </row>
    <row r="286" spans="1:12" x14ac:dyDescent="0.3">
      <c r="A286" t="s">
        <v>561</v>
      </c>
      <c r="B286" t="s">
        <v>562</v>
      </c>
      <c r="C286" s="2">
        <v>45919</v>
      </c>
      <c r="D286" t="s">
        <v>14</v>
      </c>
      <c r="E286" t="s">
        <v>22</v>
      </c>
      <c r="F286" t="s">
        <v>29</v>
      </c>
      <c r="G286" t="s">
        <v>96</v>
      </c>
      <c r="H286">
        <v>1</v>
      </c>
      <c r="I286">
        <v>700</v>
      </c>
      <c r="J286" t="s">
        <v>41</v>
      </c>
      <c r="K286" t="s">
        <v>19</v>
      </c>
      <c r="L286" s="5">
        <f t="shared" si="4"/>
        <v>700</v>
      </c>
    </row>
    <row r="287" spans="1:12" x14ac:dyDescent="0.3">
      <c r="A287" t="s">
        <v>563</v>
      </c>
      <c r="B287" t="s">
        <v>285</v>
      </c>
      <c r="C287" s="2">
        <v>45853</v>
      </c>
      <c r="D287" t="s">
        <v>14</v>
      </c>
      <c r="E287" t="s">
        <v>51</v>
      </c>
      <c r="F287" t="s">
        <v>59</v>
      </c>
      <c r="G287" t="s">
        <v>163</v>
      </c>
      <c r="H287">
        <v>1</v>
      </c>
      <c r="I287">
        <v>4200</v>
      </c>
      <c r="J287" t="s">
        <v>41</v>
      </c>
      <c r="K287" t="s">
        <v>19</v>
      </c>
      <c r="L287" s="5">
        <f t="shared" si="4"/>
        <v>4200</v>
      </c>
    </row>
    <row r="288" spans="1:12" x14ac:dyDescent="0.3">
      <c r="A288" t="s">
        <v>564</v>
      </c>
      <c r="B288" t="s">
        <v>565</v>
      </c>
      <c r="C288" s="2">
        <v>45725</v>
      </c>
      <c r="D288" t="s">
        <v>46</v>
      </c>
      <c r="E288" t="s">
        <v>75</v>
      </c>
      <c r="F288" t="s">
        <v>39</v>
      </c>
      <c r="G288" t="s">
        <v>146</v>
      </c>
      <c r="H288">
        <v>1</v>
      </c>
      <c r="I288">
        <v>6250</v>
      </c>
      <c r="J288" t="s">
        <v>18</v>
      </c>
      <c r="K288" t="s">
        <v>25</v>
      </c>
      <c r="L288" s="5">
        <f t="shared" si="4"/>
        <v>6250</v>
      </c>
    </row>
    <row r="289" spans="1:12" x14ac:dyDescent="0.3">
      <c r="A289" t="s">
        <v>566</v>
      </c>
      <c r="B289" t="s">
        <v>567</v>
      </c>
      <c r="C289" s="2">
        <v>45766</v>
      </c>
      <c r="D289" t="s">
        <v>33</v>
      </c>
      <c r="E289" t="s">
        <v>38</v>
      </c>
      <c r="F289" t="s">
        <v>39</v>
      </c>
      <c r="G289" t="s">
        <v>146</v>
      </c>
      <c r="H289">
        <v>1</v>
      </c>
      <c r="I289">
        <v>2100</v>
      </c>
      <c r="J289" t="s">
        <v>61</v>
      </c>
      <c r="K289" t="s">
        <v>19</v>
      </c>
      <c r="L289" s="5">
        <f t="shared" si="4"/>
        <v>2100</v>
      </c>
    </row>
    <row r="290" spans="1:12" x14ac:dyDescent="0.3">
      <c r="A290" t="s">
        <v>568</v>
      </c>
      <c r="B290" t="s">
        <v>569</v>
      </c>
      <c r="C290" s="2">
        <v>45937</v>
      </c>
      <c r="D290" t="s">
        <v>33</v>
      </c>
      <c r="E290" t="s">
        <v>68</v>
      </c>
      <c r="F290" t="s">
        <v>23</v>
      </c>
      <c r="G290" t="s">
        <v>56</v>
      </c>
      <c r="H290">
        <v>4</v>
      </c>
      <c r="I290">
        <v>18100</v>
      </c>
      <c r="J290" t="s">
        <v>41</v>
      </c>
      <c r="K290" t="s">
        <v>19</v>
      </c>
      <c r="L290" s="5">
        <f t="shared" si="4"/>
        <v>72400</v>
      </c>
    </row>
    <row r="291" spans="1:12" x14ac:dyDescent="0.3">
      <c r="A291" t="s">
        <v>570</v>
      </c>
      <c r="B291" t="s">
        <v>571</v>
      </c>
      <c r="C291" s="2">
        <v>45906</v>
      </c>
      <c r="D291" t="s">
        <v>64</v>
      </c>
      <c r="E291" t="s">
        <v>93</v>
      </c>
      <c r="F291" t="s">
        <v>39</v>
      </c>
      <c r="G291" t="s">
        <v>52</v>
      </c>
      <c r="H291">
        <v>3</v>
      </c>
      <c r="I291">
        <v>2450</v>
      </c>
      <c r="J291" t="s">
        <v>35</v>
      </c>
      <c r="K291" t="s">
        <v>19</v>
      </c>
      <c r="L291" s="5">
        <f t="shared" si="4"/>
        <v>7350</v>
      </c>
    </row>
    <row r="292" spans="1:12" x14ac:dyDescent="0.3">
      <c r="A292" t="s">
        <v>572</v>
      </c>
      <c r="B292" t="s">
        <v>573</v>
      </c>
      <c r="C292" s="2">
        <v>45748</v>
      </c>
      <c r="D292" t="s">
        <v>14</v>
      </c>
      <c r="E292" t="s">
        <v>51</v>
      </c>
      <c r="F292" t="s">
        <v>59</v>
      </c>
      <c r="G292" t="s">
        <v>60</v>
      </c>
      <c r="H292">
        <v>3</v>
      </c>
      <c r="I292">
        <v>900</v>
      </c>
      <c r="J292" t="s">
        <v>35</v>
      </c>
      <c r="K292" t="s">
        <v>69</v>
      </c>
      <c r="L292" s="5">
        <f t="shared" si="4"/>
        <v>2700</v>
      </c>
    </row>
    <row r="293" spans="1:12" x14ac:dyDescent="0.3">
      <c r="A293" t="s">
        <v>574</v>
      </c>
      <c r="B293" t="s">
        <v>575</v>
      </c>
      <c r="C293" s="2">
        <v>45677</v>
      </c>
      <c r="D293" t="s">
        <v>14</v>
      </c>
      <c r="E293" t="s">
        <v>28</v>
      </c>
      <c r="F293" t="s">
        <v>39</v>
      </c>
      <c r="G293" t="s">
        <v>87</v>
      </c>
      <c r="H293">
        <v>1</v>
      </c>
      <c r="I293">
        <v>8750</v>
      </c>
      <c r="J293" t="s">
        <v>35</v>
      </c>
      <c r="K293" t="s">
        <v>19</v>
      </c>
      <c r="L293" s="5">
        <f t="shared" si="4"/>
        <v>8750</v>
      </c>
    </row>
    <row r="294" spans="1:12" x14ac:dyDescent="0.3">
      <c r="A294" t="s">
        <v>576</v>
      </c>
      <c r="B294" t="s">
        <v>577</v>
      </c>
      <c r="C294" s="2">
        <v>45840</v>
      </c>
      <c r="D294" t="s">
        <v>46</v>
      </c>
      <c r="E294" t="s">
        <v>75</v>
      </c>
      <c r="F294" t="s">
        <v>16</v>
      </c>
      <c r="G294" t="s">
        <v>48</v>
      </c>
      <c r="H294">
        <v>2</v>
      </c>
      <c r="I294">
        <v>8550</v>
      </c>
      <c r="J294" t="s">
        <v>18</v>
      </c>
      <c r="K294" t="s">
        <v>19</v>
      </c>
      <c r="L294" s="5">
        <f t="shared" si="4"/>
        <v>17100</v>
      </c>
    </row>
    <row r="295" spans="1:12" x14ac:dyDescent="0.3">
      <c r="A295" t="s">
        <v>578</v>
      </c>
      <c r="B295" t="s">
        <v>535</v>
      </c>
      <c r="C295" s="2">
        <v>45876</v>
      </c>
      <c r="D295" t="s">
        <v>14</v>
      </c>
      <c r="E295" t="s">
        <v>15</v>
      </c>
      <c r="F295" t="s">
        <v>16</v>
      </c>
      <c r="G295" t="s">
        <v>81</v>
      </c>
      <c r="H295">
        <v>2</v>
      </c>
      <c r="I295">
        <v>4100</v>
      </c>
      <c r="J295" t="s">
        <v>61</v>
      </c>
      <c r="K295" t="s">
        <v>19</v>
      </c>
      <c r="L295" s="5">
        <f t="shared" si="4"/>
        <v>8200</v>
      </c>
    </row>
    <row r="296" spans="1:12" x14ac:dyDescent="0.3">
      <c r="A296" t="s">
        <v>579</v>
      </c>
      <c r="B296" t="s">
        <v>77</v>
      </c>
      <c r="C296" s="2">
        <v>45994</v>
      </c>
      <c r="D296" t="s">
        <v>64</v>
      </c>
      <c r="E296" t="s">
        <v>93</v>
      </c>
      <c r="F296" t="s">
        <v>16</v>
      </c>
      <c r="G296" t="s">
        <v>81</v>
      </c>
      <c r="H296">
        <v>4</v>
      </c>
      <c r="I296">
        <v>5250</v>
      </c>
      <c r="J296" t="s">
        <v>18</v>
      </c>
      <c r="K296" t="s">
        <v>19</v>
      </c>
      <c r="L296" s="5">
        <f t="shared" si="4"/>
        <v>21000</v>
      </c>
    </row>
    <row r="297" spans="1:12" x14ac:dyDescent="0.3">
      <c r="A297" t="s">
        <v>580</v>
      </c>
      <c r="B297" t="s">
        <v>581</v>
      </c>
      <c r="C297" s="2">
        <v>45944</v>
      </c>
      <c r="D297" t="s">
        <v>46</v>
      </c>
      <c r="E297" t="s">
        <v>72</v>
      </c>
      <c r="F297" t="s">
        <v>29</v>
      </c>
      <c r="G297" t="s">
        <v>100</v>
      </c>
      <c r="H297">
        <v>1</v>
      </c>
      <c r="I297">
        <v>2750</v>
      </c>
      <c r="J297" t="s">
        <v>18</v>
      </c>
      <c r="K297" t="s">
        <v>25</v>
      </c>
      <c r="L297" s="5">
        <f t="shared" si="4"/>
        <v>2750</v>
      </c>
    </row>
    <row r="298" spans="1:12" x14ac:dyDescent="0.3">
      <c r="A298" t="s">
        <v>582</v>
      </c>
      <c r="B298" t="s">
        <v>583</v>
      </c>
      <c r="C298" s="2">
        <v>45861</v>
      </c>
      <c r="D298" t="s">
        <v>33</v>
      </c>
      <c r="E298" t="s">
        <v>80</v>
      </c>
      <c r="F298" t="s">
        <v>59</v>
      </c>
      <c r="G298" t="s">
        <v>322</v>
      </c>
      <c r="H298">
        <v>3</v>
      </c>
      <c r="I298">
        <v>350</v>
      </c>
      <c r="J298" t="s">
        <v>41</v>
      </c>
      <c r="K298" t="s">
        <v>19</v>
      </c>
      <c r="L298" s="5">
        <f t="shared" si="4"/>
        <v>1050</v>
      </c>
    </row>
    <row r="299" spans="1:12" x14ac:dyDescent="0.3">
      <c r="A299" t="s">
        <v>584</v>
      </c>
      <c r="B299" t="s">
        <v>71</v>
      </c>
      <c r="C299" s="2">
        <v>45687</v>
      </c>
      <c r="D299" t="s">
        <v>14</v>
      </c>
      <c r="E299" t="s">
        <v>51</v>
      </c>
      <c r="F299" t="s">
        <v>59</v>
      </c>
      <c r="G299" t="s">
        <v>60</v>
      </c>
      <c r="H299">
        <v>5</v>
      </c>
      <c r="I299">
        <v>4000</v>
      </c>
      <c r="J299" t="s">
        <v>18</v>
      </c>
      <c r="K299" t="s">
        <v>25</v>
      </c>
      <c r="L299" s="5">
        <f t="shared" si="4"/>
        <v>20000</v>
      </c>
    </row>
    <row r="300" spans="1:12" x14ac:dyDescent="0.3">
      <c r="A300" t="s">
        <v>584</v>
      </c>
      <c r="B300" t="s">
        <v>280</v>
      </c>
      <c r="C300" s="2">
        <v>45858</v>
      </c>
      <c r="D300" t="s">
        <v>14</v>
      </c>
      <c r="E300" t="s">
        <v>51</v>
      </c>
      <c r="F300" t="s">
        <v>23</v>
      </c>
      <c r="G300" t="s">
        <v>56</v>
      </c>
      <c r="H300">
        <v>1</v>
      </c>
      <c r="I300">
        <v>48300</v>
      </c>
      <c r="J300" t="s">
        <v>35</v>
      </c>
      <c r="K300" t="s">
        <v>19</v>
      </c>
      <c r="L300" s="5">
        <f t="shared" si="4"/>
        <v>48300</v>
      </c>
    </row>
    <row r="301" spans="1:12" x14ac:dyDescent="0.3">
      <c r="A301" t="s">
        <v>585</v>
      </c>
      <c r="B301" t="s">
        <v>586</v>
      </c>
      <c r="C301" s="2">
        <v>46015</v>
      </c>
      <c r="D301" t="s">
        <v>64</v>
      </c>
      <c r="E301" t="s">
        <v>93</v>
      </c>
      <c r="F301" t="s">
        <v>59</v>
      </c>
      <c r="G301" t="s">
        <v>228</v>
      </c>
      <c r="H301">
        <v>2</v>
      </c>
      <c r="I301">
        <v>650</v>
      </c>
      <c r="J301" t="s">
        <v>18</v>
      </c>
      <c r="K301" t="s">
        <v>19</v>
      </c>
      <c r="L301" s="5">
        <f t="shared" si="4"/>
        <v>1300</v>
      </c>
    </row>
    <row r="302" spans="1:12" x14ac:dyDescent="0.3">
      <c r="A302" t="s">
        <v>587</v>
      </c>
      <c r="B302" t="s">
        <v>299</v>
      </c>
      <c r="C302" s="2">
        <v>45723</v>
      </c>
      <c r="D302" t="s">
        <v>64</v>
      </c>
      <c r="E302" t="s">
        <v>99</v>
      </c>
      <c r="F302" t="s">
        <v>16</v>
      </c>
      <c r="G302" t="s">
        <v>81</v>
      </c>
      <c r="H302">
        <v>1</v>
      </c>
      <c r="I302">
        <v>8550</v>
      </c>
      <c r="J302" t="s">
        <v>115</v>
      </c>
      <c r="K302" t="s">
        <v>19</v>
      </c>
      <c r="L302" s="5">
        <f t="shared" si="4"/>
        <v>8550</v>
      </c>
    </row>
    <row r="303" spans="1:12" x14ac:dyDescent="0.3">
      <c r="A303" t="s">
        <v>588</v>
      </c>
      <c r="B303" t="s">
        <v>589</v>
      </c>
      <c r="C303" s="2">
        <v>45947</v>
      </c>
      <c r="D303" t="s">
        <v>64</v>
      </c>
      <c r="E303" t="s">
        <v>65</v>
      </c>
      <c r="F303" t="s">
        <v>23</v>
      </c>
      <c r="G303" t="s">
        <v>193</v>
      </c>
      <c r="H303">
        <v>1</v>
      </c>
      <c r="I303">
        <v>31450</v>
      </c>
      <c r="J303" t="s">
        <v>35</v>
      </c>
      <c r="K303" t="s">
        <v>19</v>
      </c>
      <c r="L303" s="5">
        <f t="shared" si="4"/>
        <v>31450</v>
      </c>
    </row>
    <row r="304" spans="1:12" x14ac:dyDescent="0.3">
      <c r="A304" t="s">
        <v>590</v>
      </c>
      <c r="B304" t="s">
        <v>591</v>
      </c>
      <c r="C304" s="2">
        <v>45710</v>
      </c>
      <c r="D304" t="s">
        <v>14</v>
      </c>
      <c r="E304" t="s">
        <v>28</v>
      </c>
      <c r="F304" t="s">
        <v>16</v>
      </c>
      <c r="G304" t="s">
        <v>81</v>
      </c>
      <c r="H304">
        <v>1</v>
      </c>
      <c r="I304">
        <v>4400</v>
      </c>
      <c r="J304" t="s">
        <v>35</v>
      </c>
      <c r="K304" t="s">
        <v>25</v>
      </c>
      <c r="L304" s="5">
        <f t="shared" si="4"/>
        <v>4400</v>
      </c>
    </row>
    <row r="305" spans="1:12" x14ac:dyDescent="0.3">
      <c r="A305" t="s">
        <v>592</v>
      </c>
      <c r="B305" t="s">
        <v>593</v>
      </c>
      <c r="C305" s="2">
        <v>45709</v>
      </c>
      <c r="D305" t="s">
        <v>14</v>
      </c>
      <c r="E305" t="s">
        <v>51</v>
      </c>
      <c r="F305" t="s">
        <v>16</v>
      </c>
      <c r="G305" t="s">
        <v>143</v>
      </c>
      <c r="H305">
        <v>3</v>
      </c>
      <c r="I305">
        <v>6550</v>
      </c>
      <c r="J305" t="s">
        <v>41</v>
      </c>
      <c r="K305" t="s">
        <v>127</v>
      </c>
      <c r="L305" s="5">
        <f t="shared" si="4"/>
        <v>19650</v>
      </c>
    </row>
    <row r="306" spans="1:12" x14ac:dyDescent="0.3">
      <c r="A306" t="s">
        <v>594</v>
      </c>
      <c r="B306" t="s">
        <v>510</v>
      </c>
      <c r="C306" s="2">
        <v>45862</v>
      </c>
      <c r="D306" t="s">
        <v>14</v>
      </c>
      <c r="E306" t="s">
        <v>15</v>
      </c>
      <c r="F306" t="s">
        <v>29</v>
      </c>
      <c r="G306" t="s">
        <v>90</v>
      </c>
      <c r="H306">
        <v>1</v>
      </c>
      <c r="I306">
        <v>2200</v>
      </c>
      <c r="J306" t="s">
        <v>18</v>
      </c>
      <c r="K306" t="s">
        <v>19</v>
      </c>
      <c r="L306" s="5">
        <f t="shared" si="4"/>
        <v>2200</v>
      </c>
    </row>
    <row r="307" spans="1:12" x14ac:dyDescent="0.3">
      <c r="A307" t="s">
        <v>595</v>
      </c>
      <c r="B307" t="s">
        <v>596</v>
      </c>
      <c r="C307" s="2">
        <v>45706</v>
      </c>
      <c r="D307" t="s">
        <v>33</v>
      </c>
      <c r="E307" t="s">
        <v>68</v>
      </c>
      <c r="F307" t="s">
        <v>39</v>
      </c>
      <c r="G307" t="s">
        <v>40</v>
      </c>
      <c r="H307">
        <v>1</v>
      </c>
      <c r="I307">
        <v>3200</v>
      </c>
      <c r="J307" t="s">
        <v>35</v>
      </c>
      <c r="K307" t="s">
        <v>19</v>
      </c>
      <c r="L307" s="5">
        <f t="shared" si="4"/>
        <v>3200</v>
      </c>
    </row>
    <row r="308" spans="1:12" x14ac:dyDescent="0.3">
      <c r="A308" t="s">
        <v>597</v>
      </c>
      <c r="B308" t="s">
        <v>37</v>
      </c>
      <c r="C308" s="2">
        <v>45982</v>
      </c>
      <c r="D308" t="s">
        <v>33</v>
      </c>
      <c r="E308" t="s">
        <v>38</v>
      </c>
      <c r="F308" t="s">
        <v>16</v>
      </c>
      <c r="G308" t="s">
        <v>143</v>
      </c>
      <c r="H308">
        <v>2</v>
      </c>
      <c r="I308">
        <v>6500</v>
      </c>
      <c r="J308" t="s">
        <v>61</v>
      </c>
      <c r="K308" t="s">
        <v>19</v>
      </c>
      <c r="L308" s="5">
        <f t="shared" si="4"/>
        <v>13000</v>
      </c>
    </row>
    <row r="309" spans="1:12" x14ac:dyDescent="0.3">
      <c r="A309" t="s">
        <v>598</v>
      </c>
      <c r="B309" t="s">
        <v>599</v>
      </c>
      <c r="C309" s="2">
        <v>45995</v>
      </c>
      <c r="D309" t="s">
        <v>46</v>
      </c>
      <c r="E309" t="s">
        <v>75</v>
      </c>
      <c r="F309" t="s">
        <v>39</v>
      </c>
      <c r="G309" t="s">
        <v>52</v>
      </c>
      <c r="H309">
        <v>1</v>
      </c>
      <c r="I309">
        <v>3900</v>
      </c>
      <c r="J309" t="s">
        <v>61</v>
      </c>
      <c r="K309" t="s">
        <v>19</v>
      </c>
      <c r="L309" s="5">
        <f t="shared" si="4"/>
        <v>3900</v>
      </c>
    </row>
    <row r="310" spans="1:12" x14ac:dyDescent="0.3">
      <c r="A310" t="s">
        <v>600</v>
      </c>
      <c r="B310" t="s">
        <v>601</v>
      </c>
      <c r="C310" s="2">
        <v>45973</v>
      </c>
      <c r="D310" t="s">
        <v>33</v>
      </c>
      <c r="E310" t="s">
        <v>38</v>
      </c>
      <c r="F310" t="s">
        <v>39</v>
      </c>
      <c r="G310" t="s">
        <v>52</v>
      </c>
      <c r="H310">
        <v>4</v>
      </c>
      <c r="I310">
        <v>4100</v>
      </c>
      <c r="J310" t="s">
        <v>18</v>
      </c>
      <c r="K310" t="s">
        <v>19</v>
      </c>
      <c r="L310" s="5">
        <f t="shared" si="4"/>
        <v>16400</v>
      </c>
    </row>
    <row r="311" spans="1:12" x14ac:dyDescent="0.3">
      <c r="A311" t="s">
        <v>602</v>
      </c>
      <c r="B311" t="s">
        <v>603</v>
      </c>
      <c r="C311" s="2">
        <v>45938</v>
      </c>
      <c r="D311" t="s">
        <v>14</v>
      </c>
      <c r="E311" t="s">
        <v>51</v>
      </c>
      <c r="F311" t="s">
        <v>29</v>
      </c>
      <c r="G311" t="s">
        <v>90</v>
      </c>
      <c r="H311">
        <v>2</v>
      </c>
      <c r="I311">
        <v>5800</v>
      </c>
      <c r="J311" t="s">
        <v>115</v>
      </c>
      <c r="K311" t="s">
        <v>19</v>
      </c>
      <c r="L311" s="5">
        <f t="shared" si="4"/>
        <v>11600</v>
      </c>
    </row>
    <row r="312" spans="1:12" x14ac:dyDescent="0.3">
      <c r="A312" t="s">
        <v>604</v>
      </c>
      <c r="B312" t="s">
        <v>549</v>
      </c>
      <c r="C312" s="2">
        <v>45698</v>
      </c>
      <c r="D312" t="s">
        <v>33</v>
      </c>
      <c r="E312" t="s">
        <v>68</v>
      </c>
      <c r="F312" t="s">
        <v>16</v>
      </c>
      <c r="G312" t="s">
        <v>17</v>
      </c>
      <c r="H312">
        <v>1</v>
      </c>
      <c r="I312">
        <v>5900</v>
      </c>
      <c r="J312" t="s">
        <v>41</v>
      </c>
      <c r="K312" t="s">
        <v>25</v>
      </c>
      <c r="L312" s="5">
        <f t="shared" si="4"/>
        <v>5900</v>
      </c>
    </row>
    <row r="313" spans="1:12" x14ac:dyDescent="0.3">
      <c r="A313" t="s">
        <v>605</v>
      </c>
      <c r="B313" t="s">
        <v>606</v>
      </c>
      <c r="C313" s="2">
        <v>45757</v>
      </c>
      <c r="D313" t="s">
        <v>64</v>
      </c>
      <c r="E313" t="s">
        <v>93</v>
      </c>
      <c r="F313" t="s">
        <v>16</v>
      </c>
      <c r="G313" t="s">
        <v>48</v>
      </c>
      <c r="H313">
        <v>1</v>
      </c>
      <c r="I313">
        <v>3500</v>
      </c>
      <c r="J313" t="s">
        <v>35</v>
      </c>
      <c r="K313" t="s">
        <v>19</v>
      </c>
      <c r="L313" s="5">
        <f t="shared" si="4"/>
        <v>3500</v>
      </c>
    </row>
    <row r="314" spans="1:12" x14ac:dyDescent="0.3">
      <c r="A314" t="s">
        <v>607</v>
      </c>
      <c r="B314" t="s">
        <v>608</v>
      </c>
      <c r="C314" s="2">
        <v>45819</v>
      </c>
      <c r="D314" t="s">
        <v>64</v>
      </c>
      <c r="E314" t="s">
        <v>93</v>
      </c>
      <c r="F314" t="s">
        <v>39</v>
      </c>
      <c r="G314" t="s">
        <v>146</v>
      </c>
      <c r="H314">
        <v>2</v>
      </c>
      <c r="I314">
        <v>7450</v>
      </c>
      <c r="J314" t="s">
        <v>35</v>
      </c>
      <c r="K314" t="s">
        <v>19</v>
      </c>
      <c r="L314" s="5">
        <f t="shared" si="4"/>
        <v>14900</v>
      </c>
    </row>
    <row r="315" spans="1:12" x14ac:dyDescent="0.3">
      <c r="A315" t="s">
        <v>609</v>
      </c>
      <c r="B315" t="s">
        <v>148</v>
      </c>
      <c r="C315" s="2">
        <v>46013</v>
      </c>
      <c r="D315" t="s">
        <v>64</v>
      </c>
      <c r="E315" t="s">
        <v>65</v>
      </c>
      <c r="F315" t="s">
        <v>16</v>
      </c>
      <c r="G315" t="s">
        <v>134</v>
      </c>
      <c r="H315">
        <v>1</v>
      </c>
      <c r="I315">
        <v>8800</v>
      </c>
      <c r="J315" t="s">
        <v>35</v>
      </c>
      <c r="K315" t="s">
        <v>19</v>
      </c>
      <c r="L315" s="5">
        <f t="shared" si="4"/>
        <v>8800</v>
      </c>
    </row>
    <row r="316" spans="1:12" x14ac:dyDescent="0.3">
      <c r="A316" t="s">
        <v>610</v>
      </c>
      <c r="B316" t="s">
        <v>611</v>
      </c>
      <c r="C316" s="2">
        <v>45703</v>
      </c>
      <c r="D316" t="s">
        <v>14</v>
      </c>
      <c r="E316" t="s">
        <v>51</v>
      </c>
      <c r="F316" t="s">
        <v>23</v>
      </c>
      <c r="G316" t="s">
        <v>24</v>
      </c>
      <c r="H316">
        <v>3</v>
      </c>
      <c r="I316">
        <v>53650</v>
      </c>
      <c r="J316" t="s">
        <v>41</v>
      </c>
      <c r="K316" t="s">
        <v>19</v>
      </c>
      <c r="L316" s="5">
        <f t="shared" si="4"/>
        <v>160950</v>
      </c>
    </row>
    <row r="317" spans="1:12" x14ac:dyDescent="0.3">
      <c r="A317" t="s">
        <v>612</v>
      </c>
      <c r="B317" t="s">
        <v>551</v>
      </c>
      <c r="C317" s="2">
        <v>45839</v>
      </c>
      <c r="D317" t="s">
        <v>14</v>
      </c>
      <c r="E317" t="s">
        <v>15</v>
      </c>
      <c r="F317" t="s">
        <v>23</v>
      </c>
      <c r="G317" t="s">
        <v>193</v>
      </c>
      <c r="H317">
        <v>1</v>
      </c>
      <c r="I317">
        <v>61700</v>
      </c>
      <c r="J317" t="s">
        <v>35</v>
      </c>
      <c r="K317" t="s">
        <v>19</v>
      </c>
      <c r="L317" s="5">
        <f t="shared" si="4"/>
        <v>61700</v>
      </c>
    </row>
    <row r="318" spans="1:12" x14ac:dyDescent="0.3">
      <c r="A318" t="s">
        <v>613</v>
      </c>
      <c r="B318" t="s">
        <v>614</v>
      </c>
      <c r="C318" s="2">
        <v>45832</v>
      </c>
      <c r="D318" t="s">
        <v>33</v>
      </c>
      <c r="E318" t="s">
        <v>34</v>
      </c>
      <c r="F318" t="s">
        <v>23</v>
      </c>
      <c r="G318" t="s">
        <v>137</v>
      </c>
      <c r="H318">
        <v>1</v>
      </c>
      <c r="I318">
        <v>3400</v>
      </c>
      <c r="J318" t="s">
        <v>35</v>
      </c>
      <c r="K318" t="s">
        <v>19</v>
      </c>
      <c r="L318" s="5">
        <f t="shared" si="4"/>
        <v>3400</v>
      </c>
    </row>
    <row r="319" spans="1:12" x14ac:dyDescent="0.3">
      <c r="A319" t="s">
        <v>615</v>
      </c>
      <c r="B319" t="s">
        <v>465</v>
      </c>
      <c r="C319" s="2">
        <v>45791</v>
      </c>
      <c r="D319" t="s">
        <v>46</v>
      </c>
      <c r="E319" t="s">
        <v>72</v>
      </c>
      <c r="F319" t="s">
        <v>23</v>
      </c>
      <c r="G319" t="s">
        <v>140</v>
      </c>
      <c r="H319">
        <v>1</v>
      </c>
      <c r="I319">
        <v>37700</v>
      </c>
      <c r="J319" t="s">
        <v>41</v>
      </c>
      <c r="K319" t="s">
        <v>19</v>
      </c>
      <c r="L319" s="5">
        <f t="shared" si="4"/>
        <v>37700</v>
      </c>
    </row>
    <row r="320" spans="1:12" x14ac:dyDescent="0.3">
      <c r="A320" t="s">
        <v>616</v>
      </c>
      <c r="B320" t="s">
        <v>497</v>
      </c>
      <c r="C320" s="2">
        <v>45792</v>
      </c>
      <c r="D320" t="s">
        <v>14</v>
      </c>
      <c r="E320" t="s">
        <v>28</v>
      </c>
      <c r="F320" t="s">
        <v>16</v>
      </c>
      <c r="G320" t="s">
        <v>17</v>
      </c>
      <c r="H320">
        <v>1</v>
      </c>
      <c r="I320">
        <v>4800</v>
      </c>
      <c r="J320" t="s">
        <v>41</v>
      </c>
      <c r="K320" t="s">
        <v>19</v>
      </c>
      <c r="L320" s="5">
        <f t="shared" si="4"/>
        <v>4800</v>
      </c>
    </row>
    <row r="321" spans="1:12" x14ac:dyDescent="0.3">
      <c r="A321" t="s">
        <v>617</v>
      </c>
      <c r="B321" t="s">
        <v>326</v>
      </c>
      <c r="C321" s="2">
        <v>45789</v>
      </c>
      <c r="D321" t="s">
        <v>14</v>
      </c>
      <c r="E321" t="s">
        <v>28</v>
      </c>
      <c r="F321" t="s">
        <v>39</v>
      </c>
      <c r="G321" t="s">
        <v>87</v>
      </c>
      <c r="H321">
        <v>2</v>
      </c>
      <c r="I321">
        <v>8400</v>
      </c>
      <c r="J321" t="s">
        <v>18</v>
      </c>
      <c r="K321" t="s">
        <v>19</v>
      </c>
      <c r="L321" s="5">
        <f t="shared" si="4"/>
        <v>16800</v>
      </c>
    </row>
    <row r="322" spans="1:12" x14ac:dyDescent="0.3">
      <c r="A322" t="s">
        <v>618</v>
      </c>
      <c r="B322" t="s">
        <v>475</v>
      </c>
      <c r="C322" s="2">
        <v>45747</v>
      </c>
      <c r="D322" t="s">
        <v>14</v>
      </c>
      <c r="E322" t="s">
        <v>22</v>
      </c>
      <c r="F322" t="s">
        <v>39</v>
      </c>
      <c r="G322" t="s">
        <v>52</v>
      </c>
      <c r="H322">
        <v>1</v>
      </c>
      <c r="I322">
        <v>6250</v>
      </c>
      <c r="J322" t="s">
        <v>18</v>
      </c>
      <c r="K322" t="s">
        <v>19</v>
      </c>
      <c r="L322" s="5">
        <f t="shared" si="4"/>
        <v>6250</v>
      </c>
    </row>
    <row r="323" spans="1:12" x14ac:dyDescent="0.3">
      <c r="A323" t="s">
        <v>619</v>
      </c>
      <c r="B323" t="s">
        <v>326</v>
      </c>
      <c r="C323" s="2">
        <v>45747</v>
      </c>
      <c r="D323" t="s">
        <v>33</v>
      </c>
      <c r="E323" t="s">
        <v>34</v>
      </c>
      <c r="F323" t="s">
        <v>39</v>
      </c>
      <c r="G323" t="s">
        <v>52</v>
      </c>
      <c r="H323">
        <v>4</v>
      </c>
      <c r="I323">
        <v>5650</v>
      </c>
      <c r="J323" t="s">
        <v>18</v>
      </c>
      <c r="K323" t="s">
        <v>19</v>
      </c>
      <c r="L323" s="5">
        <f t="shared" ref="L323:L386" si="5">H323*I323</f>
        <v>22600</v>
      </c>
    </row>
    <row r="324" spans="1:12" x14ac:dyDescent="0.3">
      <c r="A324" t="s">
        <v>620</v>
      </c>
      <c r="B324" t="s">
        <v>262</v>
      </c>
      <c r="C324" s="2">
        <v>45725</v>
      </c>
      <c r="D324" t="s">
        <v>46</v>
      </c>
      <c r="E324" t="s">
        <v>75</v>
      </c>
      <c r="F324" t="s">
        <v>23</v>
      </c>
      <c r="G324" t="s">
        <v>193</v>
      </c>
      <c r="H324">
        <v>2</v>
      </c>
      <c r="I324">
        <v>50950</v>
      </c>
      <c r="J324" t="s">
        <v>18</v>
      </c>
      <c r="K324" t="s">
        <v>127</v>
      </c>
      <c r="L324" s="5">
        <f t="shared" si="5"/>
        <v>101900</v>
      </c>
    </row>
    <row r="325" spans="1:12" x14ac:dyDescent="0.3">
      <c r="A325" t="s">
        <v>621</v>
      </c>
      <c r="B325" t="s">
        <v>622</v>
      </c>
      <c r="C325" s="2">
        <v>45816</v>
      </c>
      <c r="D325" t="s">
        <v>64</v>
      </c>
      <c r="E325" t="s">
        <v>99</v>
      </c>
      <c r="F325" t="s">
        <v>16</v>
      </c>
      <c r="G325" t="s">
        <v>134</v>
      </c>
      <c r="H325">
        <v>4</v>
      </c>
      <c r="I325">
        <v>3250</v>
      </c>
      <c r="J325" t="s">
        <v>18</v>
      </c>
      <c r="K325" t="s">
        <v>19</v>
      </c>
      <c r="L325" s="5">
        <f t="shared" si="5"/>
        <v>13000</v>
      </c>
    </row>
    <row r="326" spans="1:12" x14ac:dyDescent="0.3">
      <c r="A326" t="s">
        <v>623</v>
      </c>
      <c r="B326" t="s">
        <v>624</v>
      </c>
      <c r="C326" s="2">
        <v>45883</v>
      </c>
      <c r="D326" t="s">
        <v>64</v>
      </c>
      <c r="E326" t="s">
        <v>86</v>
      </c>
      <c r="F326" t="s">
        <v>59</v>
      </c>
      <c r="G326" t="s">
        <v>322</v>
      </c>
      <c r="H326">
        <v>2</v>
      </c>
      <c r="I326">
        <v>250</v>
      </c>
      <c r="J326" t="s">
        <v>41</v>
      </c>
      <c r="K326" t="s">
        <v>19</v>
      </c>
      <c r="L326" s="5">
        <f t="shared" si="5"/>
        <v>500</v>
      </c>
    </row>
    <row r="327" spans="1:12" x14ac:dyDescent="0.3">
      <c r="A327" t="s">
        <v>625</v>
      </c>
      <c r="B327" t="s">
        <v>626</v>
      </c>
      <c r="C327" s="2">
        <v>45959</v>
      </c>
      <c r="D327" t="s">
        <v>46</v>
      </c>
      <c r="E327" t="s">
        <v>47</v>
      </c>
      <c r="F327" t="s">
        <v>23</v>
      </c>
      <c r="G327" t="s">
        <v>137</v>
      </c>
      <c r="H327">
        <v>1</v>
      </c>
      <c r="I327">
        <v>5600</v>
      </c>
      <c r="J327" t="s">
        <v>61</v>
      </c>
      <c r="K327" t="s">
        <v>19</v>
      </c>
      <c r="L327" s="5">
        <f t="shared" si="5"/>
        <v>5600</v>
      </c>
    </row>
    <row r="328" spans="1:12" x14ac:dyDescent="0.3">
      <c r="A328" t="s">
        <v>627</v>
      </c>
      <c r="B328" t="s">
        <v>628</v>
      </c>
      <c r="C328" s="2">
        <v>45990</v>
      </c>
      <c r="D328" t="s">
        <v>14</v>
      </c>
      <c r="E328" t="s">
        <v>51</v>
      </c>
      <c r="F328" t="s">
        <v>16</v>
      </c>
      <c r="G328" t="s">
        <v>81</v>
      </c>
      <c r="H328">
        <v>3</v>
      </c>
      <c r="I328">
        <v>4450</v>
      </c>
      <c r="J328" t="s">
        <v>35</v>
      </c>
      <c r="K328" t="s">
        <v>19</v>
      </c>
      <c r="L328" s="5">
        <f t="shared" si="5"/>
        <v>13350</v>
      </c>
    </row>
    <row r="329" spans="1:12" x14ac:dyDescent="0.3">
      <c r="A329" t="s">
        <v>629</v>
      </c>
      <c r="B329" t="s">
        <v>630</v>
      </c>
      <c r="C329" s="2">
        <v>45989</v>
      </c>
      <c r="D329" t="s">
        <v>64</v>
      </c>
      <c r="E329" t="s">
        <v>99</v>
      </c>
      <c r="F329" t="s">
        <v>29</v>
      </c>
      <c r="G329" t="s">
        <v>30</v>
      </c>
      <c r="H329">
        <v>4</v>
      </c>
      <c r="I329">
        <v>1900</v>
      </c>
      <c r="J329" t="s">
        <v>115</v>
      </c>
      <c r="K329" t="s">
        <v>19</v>
      </c>
      <c r="L329" s="5">
        <f t="shared" si="5"/>
        <v>7600</v>
      </c>
    </row>
    <row r="330" spans="1:12" x14ac:dyDescent="0.3">
      <c r="A330" t="s">
        <v>631</v>
      </c>
      <c r="B330" t="s">
        <v>632</v>
      </c>
      <c r="C330" s="2">
        <v>45942</v>
      </c>
      <c r="D330" t="s">
        <v>46</v>
      </c>
      <c r="E330" t="s">
        <v>72</v>
      </c>
      <c r="F330" t="s">
        <v>23</v>
      </c>
      <c r="G330" t="s">
        <v>56</v>
      </c>
      <c r="H330">
        <v>2</v>
      </c>
      <c r="I330">
        <v>5400</v>
      </c>
      <c r="J330" t="s">
        <v>115</v>
      </c>
      <c r="K330" t="s">
        <v>19</v>
      </c>
      <c r="L330" s="5">
        <f t="shared" si="5"/>
        <v>10800</v>
      </c>
    </row>
    <row r="331" spans="1:12" x14ac:dyDescent="0.3">
      <c r="A331" t="s">
        <v>633</v>
      </c>
      <c r="B331" t="s">
        <v>343</v>
      </c>
      <c r="C331" s="2">
        <v>46009</v>
      </c>
      <c r="D331" t="s">
        <v>64</v>
      </c>
      <c r="E331" t="s">
        <v>93</v>
      </c>
      <c r="F331" t="s">
        <v>39</v>
      </c>
      <c r="G331" t="s">
        <v>40</v>
      </c>
      <c r="H331">
        <v>5</v>
      </c>
      <c r="I331">
        <v>5450</v>
      </c>
      <c r="J331" t="s">
        <v>35</v>
      </c>
      <c r="K331" t="s">
        <v>19</v>
      </c>
      <c r="L331" s="5">
        <f t="shared" si="5"/>
        <v>27250</v>
      </c>
    </row>
    <row r="332" spans="1:12" x14ac:dyDescent="0.3">
      <c r="A332" t="s">
        <v>634</v>
      </c>
      <c r="B332" t="s">
        <v>635</v>
      </c>
      <c r="C332" s="2">
        <v>45731</v>
      </c>
      <c r="D332" t="s">
        <v>33</v>
      </c>
      <c r="E332" t="s">
        <v>80</v>
      </c>
      <c r="F332" t="s">
        <v>16</v>
      </c>
      <c r="G332" t="s">
        <v>143</v>
      </c>
      <c r="H332">
        <v>2</v>
      </c>
      <c r="I332">
        <v>1650</v>
      </c>
      <c r="J332" t="s">
        <v>35</v>
      </c>
      <c r="K332" t="s">
        <v>19</v>
      </c>
      <c r="L332" s="5">
        <f t="shared" si="5"/>
        <v>3300</v>
      </c>
    </row>
    <row r="333" spans="1:12" x14ac:dyDescent="0.3">
      <c r="A333" t="s">
        <v>636</v>
      </c>
      <c r="B333" t="s">
        <v>637</v>
      </c>
      <c r="C333" s="2">
        <v>45748</v>
      </c>
      <c r="D333" t="s">
        <v>46</v>
      </c>
      <c r="E333" t="s">
        <v>47</v>
      </c>
      <c r="F333" t="s">
        <v>59</v>
      </c>
      <c r="G333" t="s">
        <v>228</v>
      </c>
      <c r="H333">
        <v>1</v>
      </c>
      <c r="I333">
        <v>4050</v>
      </c>
      <c r="J333" t="s">
        <v>61</v>
      </c>
      <c r="K333" t="s">
        <v>19</v>
      </c>
      <c r="L333" s="5">
        <f t="shared" si="5"/>
        <v>4050</v>
      </c>
    </row>
    <row r="334" spans="1:12" x14ac:dyDescent="0.3">
      <c r="A334" t="s">
        <v>638</v>
      </c>
      <c r="B334" t="s">
        <v>639</v>
      </c>
      <c r="C334" s="2">
        <v>45812</v>
      </c>
      <c r="D334" t="s">
        <v>14</v>
      </c>
      <c r="E334" t="s">
        <v>28</v>
      </c>
      <c r="F334" t="s">
        <v>23</v>
      </c>
      <c r="G334" t="s">
        <v>24</v>
      </c>
      <c r="H334">
        <v>1</v>
      </c>
      <c r="I334">
        <v>58250</v>
      </c>
      <c r="J334" t="s">
        <v>61</v>
      </c>
      <c r="K334" t="s">
        <v>19</v>
      </c>
      <c r="L334" s="5">
        <f t="shared" si="5"/>
        <v>58250</v>
      </c>
    </row>
    <row r="335" spans="1:12" x14ac:dyDescent="0.3">
      <c r="A335" t="s">
        <v>640</v>
      </c>
      <c r="B335" t="s">
        <v>114</v>
      </c>
      <c r="C335" s="2">
        <v>45770</v>
      </c>
      <c r="D335" t="s">
        <v>14</v>
      </c>
      <c r="E335" t="s">
        <v>51</v>
      </c>
      <c r="F335" t="s">
        <v>39</v>
      </c>
      <c r="G335" t="s">
        <v>146</v>
      </c>
      <c r="H335">
        <v>2</v>
      </c>
      <c r="I335">
        <v>5050</v>
      </c>
      <c r="J335" t="s">
        <v>18</v>
      </c>
      <c r="K335" t="s">
        <v>19</v>
      </c>
      <c r="L335" s="5">
        <f t="shared" si="5"/>
        <v>10100</v>
      </c>
    </row>
    <row r="336" spans="1:12" x14ac:dyDescent="0.3">
      <c r="A336" t="s">
        <v>641</v>
      </c>
      <c r="B336" t="s">
        <v>538</v>
      </c>
      <c r="C336" s="2">
        <v>45771</v>
      </c>
      <c r="D336" t="s">
        <v>14</v>
      </c>
      <c r="E336" t="s">
        <v>22</v>
      </c>
      <c r="F336" t="s">
        <v>16</v>
      </c>
      <c r="G336" t="s">
        <v>48</v>
      </c>
      <c r="H336">
        <v>1</v>
      </c>
      <c r="I336">
        <v>8950</v>
      </c>
      <c r="J336" t="s">
        <v>41</v>
      </c>
      <c r="K336" t="s">
        <v>19</v>
      </c>
      <c r="L336" s="5">
        <f t="shared" si="5"/>
        <v>8950</v>
      </c>
    </row>
    <row r="337" spans="1:12" x14ac:dyDescent="0.3">
      <c r="A337" t="s">
        <v>642</v>
      </c>
      <c r="B337" t="s">
        <v>557</v>
      </c>
      <c r="C337" s="2">
        <v>45935</v>
      </c>
      <c r="D337" t="s">
        <v>46</v>
      </c>
      <c r="E337" t="s">
        <v>55</v>
      </c>
      <c r="F337" t="s">
        <v>39</v>
      </c>
      <c r="G337" t="s">
        <v>40</v>
      </c>
      <c r="H337">
        <v>3</v>
      </c>
      <c r="I337">
        <v>750</v>
      </c>
      <c r="J337" t="s">
        <v>35</v>
      </c>
      <c r="K337" t="s">
        <v>19</v>
      </c>
      <c r="L337" s="5">
        <f t="shared" si="5"/>
        <v>2250</v>
      </c>
    </row>
    <row r="338" spans="1:12" x14ac:dyDescent="0.3">
      <c r="A338" t="s">
        <v>643</v>
      </c>
      <c r="B338" t="s">
        <v>183</v>
      </c>
      <c r="C338" s="2">
        <v>45766</v>
      </c>
      <c r="D338" t="s">
        <v>14</v>
      </c>
      <c r="E338" t="s">
        <v>15</v>
      </c>
      <c r="F338" t="s">
        <v>39</v>
      </c>
      <c r="G338" t="s">
        <v>52</v>
      </c>
      <c r="H338">
        <v>1</v>
      </c>
      <c r="I338">
        <v>6050</v>
      </c>
      <c r="J338" t="s">
        <v>41</v>
      </c>
      <c r="K338" t="s">
        <v>19</v>
      </c>
      <c r="L338" s="5">
        <f t="shared" si="5"/>
        <v>6050</v>
      </c>
    </row>
    <row r="339" spans="1:12" x14ac:dyDescent="0.3">
      <c r="A339" t="s">
        <v>644</v>
      </c>
      <c r="B339" t="s">
        <v>645</v>
      </c>
      <c r="C339" s="2">
        <v>45878</v>
      </c>
      <c r="D339" t="s">
        <v>46</v>
      </c>
      <c r="E339" t="s">
        <v>75</v>
      </c>
      <c r="F339" t="s">
        <v>16</v>
      </c>
      <c r="G339" t="s">
        <v>48</v>
      </c>
      <c r="H339">
        <v>3</v>
      </c>
      <c r="I339">
        <v>6950</v>
      </c>
      <c r="J339" t="s">
        <v>61</v>
      </c>
      <c r="K339" t="s">
        <v>19</v>
      </c>
      <c r="L339" s="5">
        <f t="shared" si="5"/>
        <v>20850</v>
      </c>
    </row>
    <row r="340" spans="1:12" x14ac:dyDescent="0.3">
      <c r="A340" t="s">
        <v>646</v>
      </c>
      <c r="B340" t="s">
        <v>465</v>
      </c>
      <c r="C340" s="2">
        <v>45852</v>
      </c>
      <c r="D340" t="s">
        <v>64</v>
      </c>
      <c r="E340" t="s">
        <v>86</v>
      </c>
      <c r="F340" t="s">
        <v>23</v>
      </c>
      <c r="G340" t="s">
        <v>24</v>
      </c>
      <c r="H340">
        <v>1</v>
      </c>
      <c r="I340">
        <v>14000</v>
      </c>
      <c r="J340" t="s">
        <v>18</v>
      </c>
      <c r="K340" t="s">
        <v>69</v>
      </c>
      <c r="L340" s="5">
        <f t="shared" si="5"/>
        <v>14000</v>
      </c>
    </row>
    <row r="341" spans="1:12" x14ac:dyDescent="0.3">
      <c r="A341" t="s">
        <v>647</v>
      </c>
      <c r="B341" t="s">
        <v>648</v>
      </c>
      <c r="C341" s="2">
        <v>45838</v>
      </c>
      <c r="D341" t="s">
        <v>46</v>
      </c>
      <c r="E341" t="s">
        <v>75</v>
      </c>
      <c r="F341" t="s">
        <v>23</v>
      </c>
      <c r="G341" t="s">
        <v>24</v>
      </c>
      <c r="H341">
        <v>3</v>
      </c>
      <c r="I341">
        <v>47450</v>
      </c>
      <c r="J341" t="s">
        <v>18</v>
      </c>
      <c r="K341" t="s">
        <v>127</v>
      </c>
      <c r="L341" s="5">
        <f t="shared" si="5"/>
        <v>142350</v>
      </c>
    </row>
    <row r="342" spans="1:12" x14ac:dyDescent="0.3">
      <c r="A342" t="s">
        <v>649</v>
      </c>
      <c r="B342" t="s">
        <v>225</v>
      </c>
      <c r="C342" s="2">
        <v>46014</v>
      </c>
      <c r="D342" t="s">
        <v>14</v>
      </c>
      <c r="E342" t="s">
        <v>22</v>
      </c>
      <c r="F342" t="s">
        <v>16</v>
      </c>
      <c r="G342" t="s">
        <v>17</v>
      </c>
      <c r="H342">
        <v>2</v>
      </c>
      <c r="I342">
        <v>5050</v>
      </c>
      <c r="J342" t="s">
        <v>41</v>
      </c>
      <c r="K342" t="s">
        <v>19</v>
      </c>
      <c r="L342" s="5">
        <f t="shared" si="5"/>
        <v>10100</v>
      </c>
    </row>
    <row r="343" spans="1:12" x14ac:dyDescent="0.3">
      <c r="A343" t="s">
        <v>650</v>
      </c>
      <c r="B343" t="s">
        <v>365</v>
      </c>
      <c r="C343" s="2">
        <v>45896</v>
      </c>
      <c r="D343" t="s">
        <v>14</v>
      </c>
      <c r="E343" t="s">
        <v>28</v>
      </c>
      <c r="F343" t="s">
        <v>59</v>
      </c>
      <c r="G343" t="s">
        <v>163</v>
      </c>
      <c r="H343">
        <v>1</v>
      </c>
      <c r="I343">
        <v>4450</v>
      </c>
      <c r="J343" t="s">
        <v>18</v>
      </c>
      <c r="K343" t="s">
        <v>19</v>
      </c>
      <c r="L343" s="5">
        <f t="shared" si="5"/>
        <v>4450</v>
      </c>
    </row>
    <row r="344" spans="1:12" x14ac:dyDescent="0.3">
      <c r="A344" t="s">
        <v>651</v>
      </c>
      <c r="B344" t="s">
        <v>652</v>
      </c>
      <c r="C344" s="2">
        <v>45704</v>
      </c>
      <c r="D344" t="s">
        <v>33</v>
      </c>
      <c r="E344" t="s">
        <v>38</v>
      </c>
      <c r="F344" t="s">
        <v>16</v>
      </c>
      <c r="G344" t="s">
        <v>17</v>
      </c>
      <c r="H344">
        <v>3</v>
      </c>
      <c r="I344">
        <v>8100</v>
      </c>
      <c r="J344" t="s">
        <v>18</v>
      </c>
      <c r="K344" t="s">
        <v>19</v>
      </c>
      <c r="L344" s="5">
        <f t="shared" si="5"/>
        <v>24300</v>
      </c>
    </row>
    <row r="345" spans="1:12" x14ac:dyDescent="0.3">
      <c r="A345" t="s">
        <v>653</v>
      </c>
      <c r="B345" t="s">
        <v>339</v>
      </c>
      <c r="C345" s="2">
        <v>45819</v>
      </c>
      <c r="D345" t="s">
        <v>33</v>
      </c>
      <c r="E345" t="s">
        <v>34</v>
      </c>
      <c r="F345" t="s">
        <v>59</v>
      </c>
      <c r="G345" t="s">
        <v>163</v>
      </c>
      <c r="H345">
        <v>1</v>
      </c>
      <c r="I345">
        <v>3350</v>
      </c>
      <c r="J345" t="s">
        <v>41</v>
      </c>
      <c r="K345" t="s">
        <v>19</v>
      </c>
      <c r="L345" s="5">
        <f t="shared" si="5"/>
        <v>3350</v>
      </c>
    </row>
    <row r="346" spans="1:12" x14ac:dyDescent="0.3">
      <c r="A346" t="s">
        <v>654</v>
      </c>
      <c r="B346" t="s">
        <v>655</v>
      </c>
      <c r="C346" s="2">
        <v>45780</v>
      </c>
      <c r="D346" t="s">
        <v>14</v>
      </c>
      <c r="E346" t="s">
        <v>15</v>
      </c>
      <c r="F346" t="s">
        <v>59</v>
      </c>
      <c r="G346" t="s">
        <v>103</v>
      </c>
      <c r="H346">
        <v>1</v>
      </c>
      <c r="I346">
        <v>400</v>
      </c>
      <c r="J346" t="s">
        <v>35</v>
      </c>
      <c r="K346" t="s">
        <v>19</v>
      </c>
      <c r="L346" s="5">
        <f t="shared" si="5"/>
        <v>400</v>
      </c>
    </row>
    <row r="347" spans="1:12" x14ac:dyDescent="0.3">
      <c r="A347" t="s">
        <v>656</v>
      </c>
      <c r="B347" t="s">
        <v>657</v>
      </c>
      <c r="C347" s="2">
        <v>45753</v>
      </c>
      <c r="D347" t="s">
        <v>33</v>
      </c>
      <c r="E347" t="s">
        <v>80</v>
      </c>
      <c r="F347" t="s">
        <v>59</v>
      </c>
      <c r="G347" t="s">
        <v>103</v>
      </c>
      <c r="H347">
        <v>5</v>
      </c>
      <c r="I347">
        <v>1050</v>
      </c>
      <c r="J347" t="s">
        <v>41</v>
      </c>
      <c r="K347" t="s">
        <v>19</v>
      </c>
      <c r="L347" s="5">
        <f t="shared" si="5"/>
        <v>5250</v>
      </c>
    </row>
    <row r="348" spans="1:12" x14ac:dyDescent="0.3">
      <c r="A348" t="s">
        <v>658</v>
      </c>
      <c r="B348" t="s">
        <v>659</v>
      </c>
      <c r="C348" s="2">
        <v>45798</v>
      </c>
      <c r="D348" t="s">
        <v>14</v>
      </c>
      <c r="E348" t="s">
        <v>22</v>
      </c>
      <c r="F348" t="s">
        <v>23</v>
      </c>
      <c r="G348" t="s">
        <v>56</v>
      </c>
      <c r="H348">
        <v>3</v>
      </c>
      <c r="I348">
        <v>47550</v>
      </c>
      <c r="J348" t="s">
        <v>18</v>
      </c>
      <c r="K348" t="s">
        <v>127</v>
      </c>
      <c r="L348" s="5">
        <f t="shared" si="5"/>
        <v>142650</v>
      </c>
    </row>
    <row r="349" spans="1:12" x14ac:dyDescent="0.3">
      <c r="A349" t="s">
        <v>660</v>
      </c>
      <c r="B349" t="s">
        <v>661</v>
      </c>
      <c r="C349" s="2">
        <v>45722</v>
      </c>
      <c r="D349" t="s">
        <v>46</v>
      </c>
      <c r="E349" t="s">
        <v>72</v>
      </c>
      <c r="F349" t="s">
        <v>23</v>
      </c>
      <c r="G349" t="s">
        <v>140</v>
      </c>
      <c r="H349">
        <v>3</v>
      </c>
      <c r="I349">
        <v>8350</v>
      </c>
      <c r="J349" t="s">
        <v>35</v>
      </c>
      <c r="K349" t="s">
        <v>19</v>
      </c>
      <c r="L349" s="5">
        <f t="shared" si="5"/>
        <v>25050</v>
      </c>
    </row>
    <row r="350" spans="1:12" x14ac:dyDescent="0.3">
      <c r="A350" t="s">
        <v>662</v>
      </c>
      <c r="B350" t="s">
        <v>232</v>
      </c>
      <c r="C350" s="2">
        <v>45735</v>
      </c>
      <c r="D350" t="s">
        <v>14</v>
      </c>
      <c r="E350" t="s">
        <v>15</v>
      </c>
      <c r="F350" t="s">
        <v>16</v>
      </c>
      <c r="G350" t="s">
        <v>48</v>
      </c>
      <c r="H350">
        <v>4</v>
      </c>
      <c r="I350">
        <v>3650</v>
      </c>
      <c r="J350" t="s">
        <v>18</v>
      </c>
      <c r="K350" t="s">
        <v>127</v>
      </c>
      <c r="L350" s="5">
        <f t="shared" si="5"/>
        <v>14600</v>
      </c>
    </row>
    <row r="351" spans="1:12" x14ac:dyDescent="0.3">
      <c r="A351" t="s">
        <v>663</v>
      </c>
      <c r="B351" t="s">
        <v>664</v>
      </c>
      <c r="C351" s="2">
        <v>45996</v>
      </c>
      <c r="D351" t="s">
        <v>33</v>
      </c>
      <c r="E351" t="s">
        <v>34</v>
      </c>
      <c r="F351" t="s">
        <v>59</v>
      </c>
      <c r="G351" t="s">
        <v>322</v>
      </c>
      <c r="H351">
        <v>2</v>
      </c>
      <c r="I351">
        <v>2900</v>
      </c>
      <c r="J351" t="s">
        <v>35</v>
      </c>
      <c r="K351" t="s">
        <v>19</v>
      </c>
      <c r="L351" s="5">
        <f t="shared" si="5"/>
        <v>5800</v>
      </c>
    </row>
    <row r="352" spans="1:12" x14ac:dyDescent="0.3">
      <c r="A352" t="s">
        <v>665</v>
      </c>
      <c r="B352" t="s">
        <v>666</v>
      </c>
      <c r="C352" s="2">
        <v>45700</v>
      </c>
      <c r="D352" t="s">
        <v>64</v>
      </c>
      <c r="E352" t="s">
        <v>86</v>
      </c>
      <c r="F352" t="s">
        <v>16</v>
      </c>
      <c r="G352" t="s">
        <v>17</v>
      </c>
      <c r="H352">
        <v>4</v>
      </c>
      <c r="I352">
        <v>1300</v>
      </c>
      <c r="J352" t="s">
        <v>35</v>
      </c>
      <c r="K352" t="s">
        <v>25</v>
      </c>
      <c r="L352" s="5">
        <f t="shared" si="5"/>
        <v>5200</v>
      </c>
    </row>
    <row r="353" spans="1:12" x14ac:dyDescent="0.3">
      <c r="A353" t="s">
        <v>667</v>
      </c>
      <c r="B353" t="s">
        <v>211</v>
      </c>
      <c r="C353" s="2">
        <v>45863</v>
      </c>
      <c r="D353" t="s">
        <v>64</v>
      </c>
      <c r="E353" t="s">
        <v>65</v>
      </c>
      <c r="F353" t="s">
        <v>39</v>
      </c>
      <c r="G353" t="s">
        <v>44</v>
      </c>
      <c r="H353">
        <v>3</v>
      </c>
      <c r="I353">
        <v>3250</v>
      </c>
      <c r="J353" t="s">
        <v>35</v>
      </c>
      <c r="K353" t="s">
        <v>127</v>
      </c>
      <c r="L353" s="5">
        <f t="shared" si="5"/>
        <v>9750</v>
      </c>
    </row>
    <row r="354" spans="1:12" x14ac:dyDescent="0.3">
      <c r="A354" t="s">
        <v>668</v>
      </c>
      <c r="B354" t="s">
        <v>669</v>
      </c>
      <c r="C354" s="2">
        <v>45669</v>
      </c>
      <c r="D354" t="s">
        <v>46</v>
      </c>
      <c r="E354" t="s">
        <v>72</v>
      </c>
      <c r="F354" t="s">
        <v>29</v>
      </c>
      <c r="G354" t="s">
        <v>96</v>
      </c>
      <c r="H354">
        <v>1</v>
      </c>
      <c r="I354">
        <v>7300</v>
      </c>
      <c r="J354" t="s">
        <v>35</v>
      </c>
      <c r="K354" t="s">
        <v>19</v>
      </c>
      <c r="L354" s="5">
        <f t="shared" si="5"/>
        <v>7300</v>
      </c>
    </row>
    <row r="355" spans="1:12" x14ac:dyDescent="0.3">
      <c r="A355" t="s">
        <v>670</v>
      </c>
      <c r="B355" t="s">
        <v>671</v>
      </c>
      <c r="C355" s="2">
        <v>45716</v>
      </c>
      <c r="D355" t="s">
        <v>14</v>
      </c>
      <c r="E355" t="s">
        <v>15</v>
      </c>
      <c r="F355" t="s">
        <v>16</v>
      </c>
      <c r="G355" t="s">
        <v>81</v>
      </c>
      <c r="H355">
        <v>1</v>
      </c>
      <c r="I355">
        <v>5700</v>
      </c>
      <c r="J355" t="s">
        <v>35</v>
      </c>
      <c r="K355" t="s">
        <v>19</v>
      </c>
      <c r="L355" s="5">
        <f t="shared" si="5"/>
        <v>5700</v>
      </c>
    </row>
    <row r="356" spans="1:12" x14ac:dyDescent="0.3">
      <c r="A356" t="s">
        <v>672</v>
      </c>
      <c r="B356" t="s">
        <v>673</v>
      </c>
      <c r="C356" s="2">
        <v>45798</v>
      </c>
      <c r="D356" t="s">
        <v>33</v>
      </c>
      <c r="E356" t="s">
        <v>68</v>
      </c>
      <c r="F356" t="s">
        <v>16</v>
      </c>
      <c r="G356" t="s">
        <v>48</v>
      </c>
      <c r="H356">
        <v>1</v>
      </c>
      <c r="I356">
        <v>6200</v>
      </c>
      <c r="J356" t="s">
        <v>18</v>
      </c>
      <c r="K356" t="s">
        <v>19</v>
      </c>
      <c r="L356" s="5">
        <f t="shared" si="5"/>
        <v>6200</v>
      </c>
    </row>
    <row r="357" spans="1:12" x14ac:dyDescent="0.3">
      <c r="A357" t="s">
        <v>674</v>
      </c>
      <c r="B357" t="s">
        <v>675</v>
      </c>
      <c r="C357" s="2">
        <v>45875</v>
      </c>
      <c r="D357" t="s">
        <v>64</v>
      </c>
      <c r="E357" t="s">
        <v>99</v>
      </c>
      <c r="F357" t="s">
        <v>59</v>
      </c>
      <c r="G357" t="s">
        <v>60</v>
      </c>
      <c r="H357">
        <v>1</v>
      </c>
      <c r="I357">
        <v>700</v>
      </c>
      <c r="J357" t="s">
        <v>18</v>
      </c>
      <c r="K357" t="s">
        <v>19</v>
      </c>
      <c r="L357" s="5">
        <f t="shared" si="5"/>
        <v>700</v>
      </c>
    </row>
    <row r="358" spans="1:12" x14ac:dyDescent="0.3">
      <c r="A358" t="s">
        <v>676</v>
      </c>
      <c r="B358" t="s">
        <v>432</v>
      </c>
      <c r="C358" s="2">
        <v>45876</v>
      </c>
      <c r="D358" t="s">
        <v>14</v>
      </c>
      <c r="E358" t="s">
        <v>22</v>
      </c>
      <c r="F358" t="s">
        <v>16</v>
      </c>
      <c r="G358" t="s">
        <v>48</v>
      </c>
      <c r="H358">
        <v>5</v>
      </c>
      <c r="I358">
        <v>5050</v>
      </c>
      <c r="J358" t="s">
        <v>41</v>
      </c>
      <c r="K358" t="s">
        <v>19</v>
      </c>
      <c r="L358" s="5">
        <f t="shared" si="5"/>
        <v>25250</v>
      </c>
    </row>
    <row r="359" spans="1:12" x14ac:dyDescent="0.3">
      <c r="A359" t="s">
        <v>677</v>
      </c>
      <c r="B359" t="s">
        <v>356</v>
      </c>
      <c r="C359" s="2">
        <v>45811</v>
      </c>
      <c r="D359" t="s">
        <v>64</v>
      </c>
      <c r="E359" t="s">
        <v>86</v>
      </c>
      <c r="F359" t="s">
        <v>29</v>
      </c>
      <c r="G359" t="s">
        <v>96</v>
      </c>
      <c r="H359">
        <v>1</v>
      </c>
      <c r="I359">
        <v>4050</v>
      </c>
      <c r="J359" t="s">
        <v>18</v>
      </c>
      <c r="K359" t="s">
        <v>19</v>
      </c>
      <c r="L359" s="5">
        <f t="shared" si="5"/>
        <v>4050</v>
      </c>
    </row>
    <row r="360" spans="1:12" x14ac:dyDescent="0.3">
      <c r="A360" t="s">
        <v>678</v>
      </c>
      <c r="B360" t="s">
        <v>679</v>
      </c>
      <c r="C360" s="2">
        <v>45979</v>
      </c>
      <c r="D360" t="s">
        <v>14</v>
      </c>
      <c r="E360" t="s">
        <v>22</v>
      </c>
      <c r="F360" t="s">
        <v>29</v>
      </c>
      <c r="G360" t="s">
        <v>96</v>
      </c>
      <c r="H360">
        <v>1</v>
      </c>
      <c r="I360">
        <v>900</v>
      </c>
      <c r="K360" t="s">
        <v>19</v>
      </c>
      <c r="L360" s="5">
        <f t="shared" si="5"/>
        <v>900</v>
      </c>
    </row>
    <row r="361" spans="1:12" x14ac:dyDescent="0.3">
      <c r="A361" t="s">
        <v>680</v>
      </c>
      <c r="B361" t="s">
        <v>352</v>
      </c>
      <c r="C361" s="2">
        <v>45757</v>
      </c>
      <c r="D361" t="s">
        <v>64</v>
      </c>
      <c r="E361" t="s">
        <v>86</v>
      </c>
      <c r="F361" t="s">
        <v>23</v>
      </c>
      <c r="G361" t="s">
        <v>193</v>
      </c>
      <c r="H361">
        <v>2</v>
      </c>
      <c r="I361">
        <v>16850</v>
      </c>
      <c r="J361" t="s">
        <v>35</v>
      </c>
      <c r="K361" t="s">
        <v>19</v>
      </c>
      <c r="L361" s="5">
        <f t="shared" si="5"/>
        <v>33700</v>
      </c>
    </row>
    <row r="362" spans="1:12" x14ac:dyDescent="0.3">
      <c r="A362" t="s">
        <v>681</v>
      </c>
      <c r="B362" t="s">
        <v>136</v>
      </c>
      <c r="C362" s="2">
        <v>45705</v>
      </c>
      <c r="D362" t="s">
        <v>46</v>
      </c>
      <c r="E362" t="s">
        <v>75</v>
      </c>
      <c r="F362" t="s">
        <v>23</v>
      </c>
      <c r="G362" t="s">
        <v>193</v>
      </c>
      <c r="H362">
        <v>1</v>
      </c>
      <c r="I362">
        <v>8250</v>
      </c>
      <c r="J362" t="s">
        <v>35</v>
      </c>
      <c r="K362" t="s">
        <v>19</v>
      </c>
      <c r="L362" s="5">
        <f t="shared" si="5"/>
        <v>8250</v>
      </c>
    </row>
    <row r="363" spans="1:12" x14ac:dyDescent="0.3">
      <c r="A363" t="s">
        <v>682</v>
      </c>
      <c r="B363" t="s">
        <v>635</v>
      </c>
      <c r="C363" s="2">
        <v>45821</v>
      </c>
      <c r="D363" t="s">
        <v>64</v>
      </c>
      <c r="E363" t="s">
        <v>99</v>
      </c>
      <c r="F363" t="s">
        <v>23</v>
      </c>
      <c r="G363" t="s">
        <v>140</v>
      </c>
      <c r="H363">
        <v>2</v>
      </c>
      <c r="I363">
        <v>3950</v>
      </c>
      <c r="J363" t="s">
        <v>41</v>
      </c>
      <c r="K363" t="s">
        <v>69</v>
      </c>
      <c r="L363" s="5">
        <f t="shared" si="5"/>
        <v>7900</v>
      </c>
    </row>
    <row r="364" spans="1:12" x14ac:dyDescent="0.3">
      <c r="A364" t="s">
        <v>683</v>
      </c>
      <c r="B364" t="s">
        <v>684</v>
      </c>
      <c r="C364" s="2">
        <v>45940</v>
      </c>
      <c r="D364" t="s">
        <v>33</v>
      </c>
      <c r="E364" t="s">
        <v>80</v>
      </c>
      <c r="F364" t="s">
        <v>39</v>
      </c>
      <c r="G364" t="s">
        <v>40</v>
      </c>
      <c r="H364">
        <v>2</v>
      </c>
      <c r="I364">
        <v>6350</v>
      </c>
      <c r="J364" t="s">
        <v>18</v>
      </c>
      <c r="K364" t="s">
        <v>19</v>
      </c>
      <c r="L364" s="5">
        <f t="shared" si="5"/>
        <v>12700</v>
      </c>
    </row>
    <row r="365" spans="1:12" x14ac:dyDescent="0.3">
      <c r="A365" t="s">
        <v>685</v>
      </c>
      <c r="B365" t="s">
        <v>659</v>
      </c>
      <c r="C365" s="2">
        <v>45905</v>
      </c>
      <c r="D365" t="s">
        <v>46</v>
      </c>
      <c r="E365" t="s">
        <v>75</v>
      </c>
      <c r="F365" t="s">
        <v>16</v>
      </c>
      <c r="G365" t="s">
        <v>81</v>
      </c>
      <c r="H365">
        <v>1</v>
      </c>
      <c r="I365">
        <v>8250</v>
      </c>
      <c r="J365" t="s">
        <v>18</v>
      </c>
      <c r="K365" t="s">
        <v>19</v>
      </c>
      <c r="L365" s="5">
        <f t="shared" si="5"/>
        <v>8250</v>
      </c>
    </row>
    <row r="366" spans="1:12" x14ac:dyDescent="0.3">
      <c r="A366" t="s">
        <v>686</v>
      </c>
      <c r="B366" t="s">
        <v>687</v>
      </c>
      <c r="C366" s="2">
        <v>45704</v>
      </c>
      <c r="D366" t="s">
        <v>64</v>
      </c>
      <c r="E366" t="s">
        <v>86</v>
      </c>
      <c r="F366" t="s">
        <v>23</v>
      </c>
      <c r="G366" t="s">
        <v>24</v>
      </c>
      <c r="H366">
        <v>1</v>
      </c>
      <c r="I366">
        <v>45750</v>
      </c>
      <c r="J366" t="s">
        <v>35</v>
      </c>
      <c r="K366" t="s">
        <v>127</v>
      </c>
      <c r="L366" s="5">
        <f t="shared" si="5"/>
        <v>45750</v>
      </c>
    </row>
    <row r="367" spans="1:12" x14ac:dyDescent="0.3">
      <c r="A367" t="s">
        <v>688</v>
      </c>
      <c r="B367" t="s">
        <v>131</v>
      </c>
      <c r="C367" s="2">
        <v>45971</v>
      </c>
      <c r="D367" t="s">
        <v>14</v>
      </c>
      <c r="E367" t="s">
        <v>51</v>
      </c>
      <c r="F367" t="s">
        <v>23</v>
      </c>
      <c r="G367" t="s">
        <v>56</v>
      </c>
      <c r="H367">
        <v>4</v>
      </c>
      <c r="I367">
        <v>5650</v>
      </c>
      <c r="J367" t="s">
        <v>18</v>
      </c>
      <c r="K367" t="s">
        <v>19</v>
      </c>
      <c r="L367" s="5">
        <f t="shared" si="5"/>
        <v>22600</v>
      </c>
    </row>
    <row r="368" spans="1:12" x14ac:dyDescent="0.3">
      <c r="A368" t="s">
        <v>689</v>
      </c>
      <c r="B368" t="s">
        <v>399</v>
      </c>
      <c r="C368" s="2">
        <v>45831</v>
      </c>
      <c r="D368" t="s">
        <v>14</v>
      </c>
      <c r="E368" t="s">
        <v>28</v>
      </c>
      <c r="F368" t="s">
        <v>29</v>
      </c>
      <c r="G368" t="s">
        <v>90</v>
      </c>
      <c r="H368">
        <v>3</v>
      </c>
      <c r="I368">
        <v>6750</v>
      </c>
      <c r="J368" t="s">
        <v>61</v>
      </c>
      <c r="K368" t="s">
        <v>69</v>
      </c>
      <c r="L368" s="5">
        <f t="shared" si="5"/>
        <v>20250</v>
      </c>
    </row>
    <row r="369" spans="1:12" x14ac:dyDescent="0.3">
      <c r="A369" t="s">
        <v>690</v>
      </c>
      <c r="B369" t="s">
        <v>691</v>
      </c>
      <c r="C369" s="2">
        <v>45764</v>
      </c>
      <c r="D369" t="s">
        <v>14</v>
      </c>
      <c r="E369" t="s">
        <v>28</v>
      </c>
      <c r="F369" t="s">
        <v>16</v>
      </c>
      <c r="G369" t="s">
        <v>143</v>
      </c>
      <c r="H369">
        <v>1</v>
      </c>
      <c r="I369">
        <v>4800</v>
      </c>
      <c r="J369" t="s">
        <v>41</v>
      </c>
      <c r="K369" t="s">
        <v>69</v>
      </c>
      <c r="L369" s="5">
        <f t="shared" si="5"/>
        <v>4800</v>
      </c>
    </row>
    <row r="370" spans="1:12" x14ac:dyDescent="0.3">
      <c r="A370" t="s">
        <v>692</v>
      </c>
      <c r="B370" t="s">
        <v>693</v>
      </c>
      <c r="C370" s="2">
        <v>45715</v>
      </c>
      <c r="D370" t="s">
        <v>46</v>
      </c>
      <c r="E370" t="s">
        <v>75</v>
      </c>
      <c r="F370" t="s">
        <v>29</v>
      </c>
      <c r="G370" t="s">
        <v>100</v>
      </c>
      <c r="H370">
        <v>2</v>
      </c>
      <c r="I370">
        <v>7200</v>
      </c>
      <c r="J370" t="s">
        <v>35</v>
      </c>
      <c r="K370" t="s">
        <v>19</v>
      </c>
      <c r="L370" s="5">
        <f t="shared" si="5"/>
        <v>14400</v>
      </c>
    </row>
    <row r="371" spans="1:12" x14ac:dyDescent="0.3">
      <c r="A371" t="s">
        <v>694</v>
      </c>
      <c r="B371" t="s">
        <v>567</v>
      </c>
      <c r="C371" s="2">
        <v>45720</v>
      </c>
      <c r="D371" t="s">
        <v>46</v>
      </c>
      <c r="E371" t="s">
        <v>55</v>
      </c>
      <c r="F371" t="s">
        <v>23</v>
      </c>
      <c r="G371" t="s">
        <v>140</v>
      </c>
      <c r="H371">
        <v>2</v>
      </c>
      <c r="I371">
        <v>29150</v>
      </c>
      <c r="J371" t="s">
        <v>115</v>
      </c>
      <c r="K371" t="s">
        <v>19</v>
      </c>
      <c r="L371" s="5">
        <f t="shared" si="5"/>
        <v>58300</v>
      </c>
    </row>
    <row r="372" spans="1:12" x14ac:dyDescent="0.3">
      <c r="A372" t="s">
        <v>695</v>
      </c>
      <c r="B372" t="s">
        <v>387</v>
      </c>
      <c r="C372" s="2">
        <v>45864</v>
      </c>
      <c r="D372" t="s">
        <v>64</v>
      </c>
      <c r="E372" t="s">
        <v>99</v>
      </c>
      <c r="F372" t="s">
        <v>16</v>
      </c>
      <c r="G372" t="s">
        <v>81</v>
      </c>
      <c r="H372">
        <v>2</v>
      </c>
      <c r="I372">
        <v>2900</v>
      </c>
      <c r="J372" t="s">
        <v>18</v>
      </c>
      <c r="K372" t="s">
        <v>19</v>
      </c>
      <c r="L372" s="5">
        <f t="shared" si="5"/>
        <v>5800</v>
      </c>
    </row>
    <row r="373" spans="1:12" x14ac:dyDescent="0.3">
      <c r="A373" t="s">
        <v>696</v>
      </c>
      <c r="B373" t="s">
        <v>626</v>
      </c>
      <c r="C373" s="2">
        <v>46005</v>
      </c>
      <c r="D373" t="s">
        <v>33</v>
      </c>
      <c r="E373" t="s">
        <v>38</v>
      </c>
      <c r="F373" t="s">
        <v>16</v>
      </c>
      <c r="G373" t="s">
        <v>81</v>
      </c>
      <c r="H373">
        <v>4</v>
      </c>
      <c r="I373">
        <v>3850</v>
      </c>
      <c r="J373" t="s">
        <v>18</v>
      </c>
      <c r="K373" t="s">
        <v>19</v>
      </c>
      <c r="L373" s="5">
        <f t="shared" si="5"/>
        <v>15400</v>
      </c>
    </row>
    <row r="374" spans="1:12" x14ac:dyDescent="0.3">
      <c r="A374" t="s">
        <v>697</v>
      </c>
      <c r="B374" t="s">
        <v>508</v>
      </c>
      <c r="C374" s="2">
        <v>45969</v>
      </c>
      <c r="D374" t="s">
        <v>64</v>
      </c>
      <c r="E374" t="s">
        <v>65</v>
      </c>
      <c r="F374" t="s">
        <v>29</v>
      </c>
      <c r="G374" t="s">
        <v>96</v>
      </c>
      <c r="H374">
        <v>3</v>
      </c>
      <c r="I374">
        <v>3800</v>
      </c>
      <c r="J374" t="s">
        <v>18</v>
      </c>
      <c r="K374" t="s">
        <v>69</v>
      </c>
      <c r="L374" s="5">
        <f t="shared" si="5"/>
        <v>11400</v>
      </c>
    </row>
    <row r="375" spans="1:12" x14ac:dyDescent="0.3">
      <c r="A375" t="s">
        <v>698</v>
      </c>
      <c r="B375" t="s">
        <v>637</v>
      </c>
      <c r="C375" s="2">
        <v>46009</v>
      </c>
      <c r="D375" t="s">
        <v>14</v>
      </c>
      <c r="E375" t="s">
        <v>28</v>
      </c>
      <c r="F375" t="s">
        <v>29</v>
      </c>
      <c r="G375" t="s">
        <v>100</v>
      </c>
      <c r="H375">
        <v>3</v>
      </c>
      <c r="I375">
        <v>1000</v>
      </c>
      <c r="J375" t="s">
        <v>61</v>
      </c>
      <c r="K375" t="s">
        <v>19</v>
      </c>
      <c r="L375" s="5">
        <f t="shared" si="5"/>
        <v>3000</v>
      </c>
    </row>
    <row r="376" spans="1:12" x14ac:dyDescent="0.3">
      <c r="A376" t="s">
        <v>699</v>
      </c>
      <c r="B376" t="s">
        <v>645</v>
      </c>
      <c r="C376" s="2">
        <v>45692</v>
      </c>
      <c r="D376" t="s">
        <v>14</v>
      </c>
      <c r="E376" t="s">
        <v>22</v>
      </c>
      <c r="F376" t="s">
        <v>59</v>
      </c>
      <c r="G376" t="s">
        <v>322</v>
      </c>
      <c r="H376">
        <v>3</v>
      </c>
      <c r="I376">
        <v>4700</v>
      </c>
      <c r="J376" t="s">
        <v>18</v>
      </c>
      <c r="K376" t="s">
        <v>19</v>
      </c>
      <c r="L376" s="5">
        <f t="shared" si="5"/>
        <v>14100</v>
      </c>
    </row>
    <row r="377" spans="1:12" x14ac:dyDescent="0.3">
      <c r="A377" t="s">
        <v>700</v>
      </c>
      <c r="B377" t="s">
        <v>701</v>
      </c>
      <c r="C377" s="2">
        <v>45871</v>
      </c>
      <c r="D377" t="s">
        <v>46</v>
      </c>
      <c r="E377" t="s">
        <v>47</v>
      </c>
      <c r="F377" t="s">
        <v>16</v>
      </c>
      <c r="G377" t="s">
        <v>143</v>
      </c>
      <c r="H377">
        <v>1</v>
      </c>
      <c r="I377">
        <v>8000</v>
      </c>
      <c r="J377" t="s">
        <v>41</v>
      </c>
      <c r="K377" t="s">
        <v>19</v>
      </c>
      <c r="L377" s="5">
        <f t="shared" si="5"/>
        <v>8000</v>
      </c>
    </row>
    <row r="378" spans="1:12" x14ac:dyDescent="0.3">
      <c r="A378" t="s">
        <v>702</v>
      </c>
      <c r="B378" t="s">
        <v>703</v>
      </c>
      <c r="C378" s="2">
        <v>45742</v>
      </c>
      <c r="D378" t="s">
        <v>33</v>
      </c>
      <c r="E378" t="s">
        <v>34</v>
      </c>
      <c r="F378" t="s">
        <v>16</v>
      </c>
      <c r="G378" t="s">
        <v>17</v>
      </c>
      <c r="H378">
        <v>1</v>
      </c>
      <c r="I378">
        <v>6300</v>
      </c>
      <c r="J378" t="s">
        <v>18</v>
      </c>
      <c r="K378" t="s">
        <v>19</v>
      </c>
      <c r="L378" s="5">
        <f t="shared" si="5"/>
        <v>6300</v>
      </c>
    </row>
    <row r="379" spans="1:12" x14ac:dyDescent="0.3">
      <c r="A379" t="s">
        <v>704</v>
      </c>
      <c r="B379" t="s">
        <v>287</v>
      </c>
      <c r="C379" s="2">
        <v>45795</v>
      </c>
      <c r="D379" t="s">
        <v>33</v>
      </c>
      <c r="E379" t="s">
        <v>38</v>
      </c>
      <c r="F379" t="s">
        <v>59</v>
      </c>
      <c r="G379" t="s">
        <v>228</v>
      </c>
      <c r="H379">
        <v>1</v>
      </c>
      <c r="I379">
        <v>2800</v>
      </c>
      <c r="J379" t="s">
        <v>41</v>
      </c>
      <c r="K379" t="s">
        <v>19</v>
      </c>
      <c r="L379" s="5">
        <f t="shared" si="5"/>
        <v>2800</v>
      </c>
    </row>
    <row r="380" spans="1:12" x14ac:dyDescent="0.3">
      <c r="A380" t="s">
        <v>705</v>
      </c>
      <c r="B380" t="s">
        <v>209</v>
      </c>
      <c r="C380" s="2">
        <v>45804</v>
      </c>
      <c r="D380" t="s">
        <v>14</v>
      </c>
      <c r="E380" t="s">
        <v>51</v>
      </c>
      <c r="F380" t="s">
        <v>29</v>
      </c>
      <c r="G380" t="s">
        <v>96</v>
      </c>
      <c r="H380">
        <v>1</v>
      </c>
      <c r="I380">
        <v>2000</v>
      </c>
      <c r="J380" t="s">
        <v>18</v>
      </c>
      <c r="K380" t="s">
        <v>19</v>
      </c>
      <c r="L380" s="5">
        <f t="shared" si="5"/>
        <v>2000</v>
      </c>
    </row>
    <row r="381" spans="1:12" x14ac:dyDescent="0.3">
      <c r="A381" t="s">
        <v>706</v>
      </c>
      <c r="B381" t="s">
        <v>684</v>
      </c>
      <c r="C381" s="2">
        <v>45832</v>
      </c>
      <c r="D381" t="s">
        <v>33</v>
      </c>
      <c r="E381" t="s">
        <v>68</v>
      </c>
      <c r="F381" t="s">
        <v>16</v>
      </c>
      <c r="G381" t="s">
        <v>134</v>
      </c>
      <c r="H381">
        <v>1</v>
      </c>
      <c r="I381">
        <v>5100</v>
      </c>
      <c r="J381" t="s">
        <v>41</v>
      </c>
      <c r="K381" t="s">
        <v>19</v>
      </c>
      <c r="L381" s="5">
        <f t="shared" si="5"/>
        <v>5100</v>
      </c>
    </row>
    <row r="382" spans="1:12" x14ac:dyDescent="0.3">
      <c r="A382" t="s">
        <v>707</v>
      </c>
      <c r="B382" t="s">
        <v>708</v>
      </c>
      <c r="C382" s="2">
        <v>45902</v>
      </c>
      <c r="D382" t="s">
        <v>33</v>
      </c>
      <c r="E382" t="s">
        <v>68</v>
      </c>
      <c r="F382" t="s">
        <v>59</v>
      </c>
      <c r="G382" t="s">
        <v>163</v>
      </c>
      <c r="H382">
        <v>2</v>
      </c>
      <c r="I382">
        <v>2800</v>
      </c>
      <c r="J382" t="s">
        <v>18</v>
      </c>
      <c r="K382" t="s">
        <v>69</v>
      </c>
      <c r="L382" s="5">
        <f t="shared" si="5"/>
        <v>5600</v>
      </c>
    </row>
    <row r="383" spans="1:12" x14ac:dyDescent="0.3">
      <c r="A383" t="s">
        <v>709</v>
      </c>
      <c r="B383" t="s">
        <v>211</v>
      </c>
      <c r="C383" s="2">
        <v>45971</v>
      </c>
      <c r="D383" t="s">
        <v>33</v>
      </c>
      <c r="E383" t="s">
        <v>34</v>
      </c>
      <c r="F383" t="s">
        <v>23</v>
      </c>
      <c r="G383" t="s">
        <v>137</v>
      </c>
      <c r="H383">
        <v>1</v>
      </c>
      <c r="I383">
        <v>45200</v>
      </c>
      <c r="J383" t="s">
        <v>41</v>
      </c>
      <c r="K383" t="s">
        <v>69</v>
      </c>
      <c r="L383" s="5">
        <f t="shared" si="5"/>
        <v>45200</v>
      </c>
    </row>
    <row r="384" spans="1:12" x14ac:dyDescent="0.3">
      <c r="A384" t="s">
        <v>710</v>
      </c>
      <c r="B384" t="s">
        <v>346</v>
      </c>
      <c r="C384" s="2">
        <v>45939</v>
      </c>
      <c r="D384" t="s">
        <v>64</v>
      </c>
      <c r="E384" t="s">
        <v>86</v>
      </c>
      <c r="F384" t="s">
        <v>29</v>
      </c>
      <c r="G384" t="s">
        <v>184</v>
      </c>
      <c r="H384">
        <v>1</v>
      </c>
      <c r="I384">
        <v>6400</v>
      </c>
      <c r="J384" t="s">
        <v>41</v>
      </c>
      <c r="K384" t="s">
        <v>19</v>
      </c>
      <c r="L384" s="5">
        <f t="shared" si="5"/>
        <v>6400</v>
      </c>
    </row>
    <row r="385" spans="1:12" x14ac:dyDescent="0.3">
      <c r="A385" t="s">
        <v>711</v>
      </c>
      <c r="B385" t="s">
        <v>258</v>
      </c>
      <c r="C385" s="2">
        <v>45775</v>
      </c>
      <c r="D385" t="s">
        <v>64</v>
      </c>
      <c r="E385" t="s">
        <v>99</v>
      </c>
      <c r="F385" t="s">
        <v>23</v>
      </c>
      <c r="G385" t="s">
        <v>56</v>
      </c>
      <c r="H385">
        <v>3</v>
      </c>
      <c r="I385">
        <v>35150</v>
      </c>
      <c r="J385" t="s">
        <v>61</v>
      </c>
      <c r="K385" t="s">
        <v>127</v>
      </c>
      <c r="L385" s="5">
        <f t="shared" si="5"/>
        <v>105450</v>
      </c>
    </row>
    <row r="386" spans="1:12" x14ac:dyDescent="0.3">
      <c r="A386" t="s">
        <v>712</v>
      </c>
      <c r="B386" t="s">
        <v>675</v>
      </c>
      <c r="C386" s="2">
        <v>45889</v>
      </c>
      <c r="D386" t="s">
        <v>14</v>
      </c>
      <c r="E386" t="s">
        <v>22</v>
      </c>
      <c r="F386" t="s">
        <v>59</v>
      </c>
      <c r="G386" t="s">
        <v>163</v>
      </c>
      <c r="H386">
        <v>2</v>
      </c>
      <c r="I386">
        <v>2150</v>
      </c>
      <c r="J386" t="s">
        <v>18</v>
      </c>
      <c r="K386" t="s">
        <v>19</v>
      </c>
      <c r="L386" s="5">
        <f t="shared" si="5"/>
        <v>4300</v>
      </c>
    </row>
    <row r="387" spans="1:12" x14ac:dyDescent="0.3">
      <c r="A387" t="s">
        <v>713</v>
      </c>
      <c r="B387" t="s">
        <v>77</v>
      </c>
      <c r="C387" s="2">
        <v>45970</v>
      </c>
      <c r="D387" t="s">
        <v>14</v>
      </c>
      <c r="E387" t="s">
        <v>22</v>
      </c>
      <c r="F387" t="s">
        <v>23</v>
      </c>
      <c r="G387" t="s">
        <v>193</v>
      </c>
      <c r="H387">
        <v>1</v>
      </c>
      <c r="I387">
        <v>31500</v>
      </c>
      <c r="J387" t="s">
        <v>35</v>
      </c>
      <c r="K387" t="s">
        <v>127</v>
      </c>
      <c r="L387" s="5">
        <f t="shared" ref="L387:L450" si="6">H387*I387</f>
        <v>31500</v>
      </c>
    </row>
    <row r="388" spans="1:12" x14ac:dyDescent="0.3">
      <c r="A388" t="s">
        <v>714</v>
      </c>
      <c r="B388" t="s">
        <v>324</v>
      </c>
      <c r="C388" s="2">
        <v>45996</v>
      </c>
      <c r="D388" t="s">
        <v>14</v>
      </c>
      <c r="E388" t="s">
        <v>51</v>
      </c>
      <c r="F388" t="s">
        <v>39</v>
      </c>
      <c r="G388" t="s">
        <v>40</v>
      </c>
      <c r="H388">
        <v>1</v>
      </c>
      <c r="I388">
        <v>9900</v>
      </c>
      <c r="J388" t="s">
        <v>115</v>
      </c>
      <c r="K388" t="s">
        <v>19</v>
      </c>
      <c r="L388" s="5">
        <f t="shared" si="6"/>
        <v>9900</v>
      </c>
    </row>
    <row r="389" spans="1:12" x14ac:dyDescent="0.3">
      <c r="A389" t="s">
        <v>715</v>
      </c>
      <c r="B389" t="s">
        <v>458</v>
      </c>
      <c r="C389" s="2">
        <v>45892</v>
      </c>
      <c r="D389" t="s">
        <v>64</v>
      </c>
      <c r="E389" t="s">
        <v>65</v>
      </c>
      <c r="F389" t="s">
        <v>23</v>
      </c>
      <c r="G389" t="s">
        <v>24</v>
      </c>
      <c r="H389">
        <v>2</v>
      </c>
      <c r="I389">
        <v>30550</v>
      </c>
      <c r="J389" t="s">
        <v>35</v>
      </c>
      <c r="K389" t="s">
        <v>19</v>
      </c>
      <c r="L389" s="5">
        <f t="shared" si="6"/>
        <v>61100</v>
      </c>
    </row>
    <row r="390" spans="1:12" x14ac:dyDescent="0.3">
      <c r="A390" t="s">
        <v>716</v>
      </c>
      <c r="B390" t="s">
        <v>717</v>
      </c>
      <c r="C390" s="2">
        <v>45858</v>
      </c>
      <c r="D390" t="s">
        <v>14</v>
      </c>
      <c r="E390" t="s">
        <v>28</v>
      </c>
      <c r="F390" t="s">
        <v>39</v>
      </c>
      <c r="G390" t="s">
        <v>146</v>
      </c>
      <c r="H390">
        <v>3</v>
      </c>
      <c r="I390">
        <v>8150</v>
      </c>
      <c r="J390" t="s">
        <v>41</v>
      </c>
      <c r="K390" t="s">
        <v>19</v>
      </c>
      <c r="L390" s="5">
        <f t="shared" si="6"/>
        <v>24450</v>
      </c>
    </row>
    <row r="391" spans="1:12" x14ac:dyDescent="0.3">
      <c r="A391" t="s">
        <v>718</v>
      </c>
      <c r="B391" t="s">
        <v>661</v>
      </c>
      <c r="C391" s="2">
        <v>45701</v>
      </c>
      <c r="D391" t="s">
        <v>33</v>
      </c>
      <c r="E391" t="s">
        <v>38</v>
      </c>
      <c r="F391" t="s">
        <v>29</v>
      </c>
      <c r="G391" t="s">
        <v>184</v>
      </c>
      <c r="H391">
        <v>2</v>
      </c>
      <c r="I391">
        <v>6500</v>
      </c>
      <c r="J391" t="s">
        <v>18</v>
      </c>
      <c r="K391" t="s">
        <v>19</v>
      </c>
      <c r="L391" s="5">
        <f t="shared" si="6"/>
        <v>13000</v>
      </c>
    </row>
    <row r="392" spans="1:12" x14ac:dyDescent="0.3">
      <c r="A392" t="s">
        <v>719</v>
      </c>
      <c r="B392" t="s">
        <v>583</v>
      </c>
      <c r="C392" s="2">
        <v>45721</v>
      </c>
      <c r="D392" t="s">
        <v>14</v>
      </c>
      <c r="E392" t="s">
        <v>15</v>
      </c>
      <c r="F392" t="s">
        <v>59</v>
      </c>
      <c r="G392" t="s">
        <v>228</v>
      </c>
      <c r="H392">
        <v>1</v>
      </c>
      <c r="I392">
        <v>2100</v>
      </c>
      <c r="J392" t="s">
        <v>18</v>
      </c>
      <c r="K392" t="s">
        <v>19</v>
      </c>
      <c r="L392" s="5">
        <f t="shared" si="6"/>
        <v>2100</v>
      </c>
    </row>
    <row r="393" spans="1:12" x14ac:dyDescent="0.3">
      <c r="A393" t="s">
        <v>720</v>
      </c>
      <c r="B393" t="s">
        <v>299</v>
      </c>
      <c r="C393" s="2">
        <v>45665</v>
      </c>
      <c r="D393" t="s">
        <v>33</v>
      </c>
      <c r="E393" t="s">
        <v>38</v>
      </c>
      <c r="F393" t="s">
        <v>59</v>
      </c>
      <c r="G393" t="s">
        <v>322</v>
      </c>
      <c r="H393">
        <v>1</v>
      </c>
      <c r="I393">
        <v>3850</v>
      </c>
      <c r="J393" t="s">
        <v>41</v>
      </c>
      <c r="K393" t="s">
        <v>19</v>
      </c>
      <c r="L393" s="5">
        <f t="shared" si="6"/>
        <v>3850</v>
      </c>
    </row>
    <row r="394" spans="1:12" x14ac:dyDescent="0.3">
      <c r="A394" t="s">
        <v>721</v>
      </c>
      <c r="B394" t="s">
        <v>201</v>
      </c>
      <c r="C394" s="2">
        <v>45738</v>
      </c>
      <c r="D394" t="s">
        <v>14</v>
      </c>
      <c r="E394" t="s">
        <v>28</v>
      </c>
      <c r="F394" t="s">
        <v>29</v>
      </c>
      <c r="G394" t="s">
        <v>100</v>
      </c>
      <c r="H394">
        <v>3</v>
      </c>
      <c r="I394">
        <v>6950</v>
      </c>
      <c r="J394" t="s">
        <v>35</v>
      </c>
      <c r="K394" t="s">
        <v>19</v>
      </c>
      <c r="L394" s="5">
        <f t="shared" si="6"/>
        <v>20850</v>
      </c>
    </row>
    <row r="395" spans="1:12" x14ac:dyDescent="0.3">
      <c r="A395" t="s">
        <v>722</v>
      </c>
      <c r="B395" t="s">
        <v>723</v>
      </c>
      <c r="C395" s="2">
        <v>45852</v>
      </c>
      <c r="D395" t="s">
        <v>33</v>
      </c>
      <c r="E395" t="s">
        <v>38</v>
      </c>
      <c r="F395" t="s">
        <v>29</v>
      </c>
      <c r="G395" t="s">
        <v>90</v>
      </c>
      <c r="H395">
        <v>4</v>
      </c>
      <c r="I395">
        <v>3850</v>
      </c>
      <c r="J395" t="s">
        <v>41</v>
      </c>
      <c r="K395" t="s">
        <v>19</v>
      </c>
      <c r="L395" s="5">
        <f t="shared" si="6"/>
        <v>15400</v>
      </c>
    </row>
    <row r="396" spans="1:12" x14ac:dyDescent="0.3">
      <c r="A396" t="s">
        <v>724</v>
      </c>
      <c r="B396" t="s">
        <v>725</v>
      </c>
      <c r="C396" s="2">
        <v>45935</v>
      </c>
      <c r="D396" t="s">
        <v>14</v>
      </c>
      <c r="E396" t="s">
        <v>51</v>
      </c>
      <c r="F396" t="s">
        <v>39</v>
      </c>
      <c r="G396" t="s">
        <v>52</v>
      </c>
      <c r="H396">
        <v>1</v>
      </c>
      <c r="I396">
        <v>8350</v>
      </c>
      <c r="J396" t="s">
        <v>18</v>
      </c>
      <c r="K396" t="s">
        <v>19</v>
      </c>
      <c r="L396" s="5">
        <f t="shared" si="6"/>
        <v>8350</v>
      </c>
    </row>
    <row r="397" spans="1:12" x14ac:dyDescent="0.3">
      <c r="A397" t="s">
        <v>726</v>
      </c>
      <c r="B397" t="s">
        <v>74</v>
      </c>
      <c r="C397" s="2">
        <v>45861</v>
      </c>
      <c r="D397" t="s">
        <v>64</v>
      </c>
      <c r="E397" t="s">
        <v>65</v>
      </c>
      <c r="F397" t="s">
        <v>23</v>
      </c>
      <c r="G397" t="s">
        <v>137</v>
      </c>
      <c r="H397">
        <v>5</v>
      </c>
      <c r="I397">
        <v>30400</v>
      </c>
      <c r="J397" t="s">
        <v>35</v>
      </c>
      <c r="K397" t="s">
        <v>19</v>
      </c>
      <c r="L397" s="5">
        <f t="shared" si="6"/>
        <v>152000</v>
      </c>
    </row>
    <row r="398" spans="1:12" x14ac:dyDescent="0.3">
      <c r="A398" t="s">
        <v>727</v>
      </c>
      <c r="B398" t="s">
        <v>728</v>
      </c>
      <c r="C398" s="2">
        <v>45959</v>
      </c>
      <c r="D398" t="s">
        <v>33</v>
      </c>
      <c r="E398" t="s">
        <v>38</v>
      </c>
      <c r="F398" t="s">
        <v>23</v>
      </c>
      <c r="G398" t="s">
        <v>56</v>
      </c>
      <c r="H398">
        <v>3</v>
      </c>
      <c r="I398">
        <v>2850</v>
      </c>
      <c r="J398" t="s">
        <v>18</v>
      </c>
      <c r="K398" t="s">
        <v>19</v>
      </c>
      <c r="L398" s="5">
        <f t="shared" si="6"/>
        <v>8550</v>
      </c>
    </row>
    <row r="399" spans="1:12" x14ac:dyDescent="0.3">
      <c r="A399" t="s">
        <v>729</v>
      </c>
      <c r="B399" t="s">
        <v>359</v>
      </c>
      <c r="C399" s="2">
        <v>45915</v>
      </c>
      <c r="D399" t="s">
        <v>46</v>
      </c>
      <c r="E399" t="s">
        <v>72</v>
      </c>
      <c r="F399" t="s">
        <v>29</v>
      </c>
      <c r="G399" t="s">
        <v>100</v>
      </c>
      <c r="H399">
        <v>2</v>
      </c>
      <c r="I399">
        <v>4300</v>
      </c>
      <c r="J399" t="s">
        <v>41</v>
      </c>
      <c r="K399" t="s">
        <v>19</v>
      </c>
      <c r="L399" s="5">
        <f t="shared" si="6"/>
        <v>8600</v>
      </c>
    </row>
    <row r="400" spans="1:12" x14ac:dyDescent="0.3">
      <c r="A400" t="s">
        <v>730</v>
      </c>
      <c r="B400" t="s">
        <v>731</v>
      </c>
      <c r="C400" s="2">
        <v>45718</v>
      </c>
      <c r="D400" t="s">
        <v>33</v>
      </c>
      <c r="E400" t="s">
        <v>34</v>
      </c>
      <c r="F400" t="s">
        <v>59</v>
      </c>
      <c r="G400" t="s">
        <v>103</v>
      </c>
      <c r="H400">
        <v>3</v>
      </c>
      <c r="I400">
        <v>4850</v>
      </c>
      <c r="J400" t="s">
        <v>61</v>
      </c>
      <c r="K400" t="s">
        <v>69</v>
      </c>
      <c r="L400" s="5">
        <f t="shared" si="6"/>
        <v>14550</v>
      </c>
    </row>
    <row r="401" spans="1:12" x14ac:dyDescent="0.3">
      <c r="A401" t="s">
        <v>732</v>
      </c>
      <c r="B401" t="s">
        <v>733</v>
      </c>
      <c r="C401" s="2">
        <v>45961</v>
      </c>
      <c r="D401" t="s">
        <v>33</v>
      </c>
      <c r="E401" t="s">
        <v>68</v>
      </c>
      <c r="F401" t="s">
        <v>39</v>
      </c>
      <c r="G401" t="s">
        <v>52</v>
      </c>
      <c r="H401">
        <v>1</v>
      </c>
      <c r="I401">
        <v>900</v>
      </c>
      <c r="J401" t="s">
        <v>18</v>
      </c>
      <c r="K401" t="s">
        <v>19</v>
      </c>
      <c r="L401" s="5">
        <f t="shared" si="6"/>
        <v>900</v>
      </c>
    </row>
    <row r="402" spans="1:12" x14ac:dyDescent="0.3">
      <c r="A402" t="s">
        <v>734</v>
      </c>
      <c r="B402" t="s">
        <v>735</v>
      </c>
      <c r="C402" s="2">
        <v>45854</v>
      </c>
      <c r="D402" t="s">
        <v>64</v>
      </c>
      <c r="E402" t="s">
        <v>65</v>
      </c>
      <c r="F402" t="s">
        <v>16</v>
      </c>
      <c r="G402" t="s">
        <v>48</v>
      </c>
      <c r="H402">
        <v>3</v>
      </c>
      <c r="I402">
        <v>600</v>
      </c>
      <c r="J402" t="s">
        <v>35</v>
      </c>
      <c r="K402" t="s">
        <v>19</v>
      </c>
      <c r="L402" s="5">
        <f t="shared" si="6"/>
        <v>1800</v>
      </c>
    </row>
    <row r="403" spans="1:12" x14ac:dyDescent="0.3">
      <c r="A403" t="s">
        <v>736</v>
      </c>
      <c r="B403" t="s">
        <v>737</v>
      </c>
      <c r="C403" s="2">
        <v>45810</v>
      </c>
      <c r="D403" t="s">
        <v>33</v>
      </c>
      <c r="E403" t="s">
        <v>34</v>
      </c>
      <c r="F403" t="s">
        <v>39</v>
      </c>
      <c r="G403" t="s">
        <v>40</v>
      </c>
      <c r="H403">
        <v>2</v>
      </c>
      <c r="I403">
        <v>9900</v>
      </c>
      <c r="J403" t="s">
        <v>41</v>
      </c>
      <c r="K403" t="s">
        <v>19</v>
      </c>
      <c r="L403" s="5">
        <f t="shared" si="6"/>
        <v>19800</v>
      </c>
    </row>
    <row r="404" spans="1:12" x14ac:dyDescent="0.3">
      <c r="A404" t="s">
        <v>738</v>
      </c>
      <c r="B404" t="s">
        <v>739</v>
      </c>
      <c r="C404" s="2">
        <v>45806</v>
      </c>
      <c r="D404" t="s">
        <v>46</v>
      </c>
      <c r="E404" t="s">
        <v>72</v>
      </c>
      <c r="F404" t="s">
        <v>23</v>
      </c>
      <c r="G404" t="s">
        <v>24</v>
      </c>
      <c r="H404">
        <v>1</v>
      </c>
      <c r="I404">
        <v>60450</v>
      </c>
      <c r="J404" t="s">
        <v>41</v>
      </c>
      <c r="K404" t="s">
        <v>19</v>
      </c>
      <c r="L404" s="5">
        <f t="shared" si="6"/>
        <v>60450</v>
      </c>
    </row>
    <row r="405" spans="1:12" x14ac:dyDescent="0.3">
      <c r="A405" t="s">
        <v>740</v>
      </c>
      <c r="B405" t="s">
        <v>359</v>
      </c>
      <c r="C405" s="2">
        <v>45812</v>
      </c>
      <c r="D405" t="s">
        <v>46</v>
      </c>
      <c r="E405" t="s">
        <v>47</v>
      </c>
      <c r="F405" t="s">
        <v>39</v>
      </c>
      <c r="G405" t="s">
        <v>44</v>
      </c>
      <c r="H405">
        <v>2</v>
      </c>
      <c r="I405">
        <v>7300</v>
      </c>
      <c r="J405" t="s">
        <v>18</v>
      </c>
      <c r="K405" t="s">
        <v>19</v>
      </c>
      <c r="L405" s="5">
        <f t="shared" si="6"/>
        <v>14600</v>
      </c>
    </row>
    <row r="406" spans="1:12" x14ac:dyDescent="0.3">
      <c r="A406" t="s">
        <v>741</v>
      </c>
      <c r="B406" t="s">
        <v>742</v>
      </c>
      <c r="C406" s="2">
        <v>45996</v>
      </c>
      <c r="D406" t="s">
        <v>14</v>
      </c>
      <c r="E406" t="s">
        <v>28</v>
      </c>
      <c r="F406" t="s">
        <v>29</v>
      </c>
      <c r="G406" t="s">
        <v>90</v>
      </c>
      <c r="H406">
        <v>2</v>
      </c>
      <c r="I406">
        <v>1650</v>
      </c>
      <c r="J406" t="s">
        <v>35</v>
      </c>
      <c r="K406" t="s">
        <v>19</v>
      </c>
      <c r="L406" s="5">
        <f t="shared" si="6"/>
        <v>3300</v>
      </c>
    </row>
    <row r="407" spans="1:12" x14ac:dyDescent="0.3">
      <c r="A407" t="s">
        <v>743</v>
      </c>
      <c r="B407" t="s">
        <v>425</v>
      </c>
      <c r="C407" s="2">
        <v>45769</v>
      </c>
      <c r="D407" t="s">
        <v>33</v>
      </c>
      <c r="E407" t="s">
        <v>34</v>
      </c>
      <c r="F407" t="s">
        <v>59</v>
      </c>
      <c r="G407" t="s">
        <v>228</v>
      </c>
      <c r="H407">
        <v>1</v>
      </c>
      <c r="I407">
        <v>3600</v>
      </c>
      <c r="J407" t="s">
        <v>35</v>
      </c>
      <c r="K407" t="s">
        <v>127</v>
      </c>
      <c r="L407" s="5">
        <f t="shared" si="6"/>
        <v>3600</v>
      </c>
    </row>
    <row r="408" spans="1:12" x14ac:dyDescent="0.3">
      <c r="A408" t="s">
        <v>744</v>
      </c>
      <c r="B408" t="s">
        <v>630</v>
      </c>
      <c r="C408" s="2">
        <v>45751</v>
      </c>
      <c r="D408" t="s">
        <v>64</v>
      </c>
      <c r="E408" t="s">
        <v>65</v>
      </c>
      <c r="F408" t="s">
        <v>23</v>
      </c>
      <c r="G408" t="s">
        <v>24</v>
      </c>
      <c r="H408">
        <v>2</v>
      </c>
      <c r="I408">
        <v>29950</v>
      </c>
      <c r="J408" t="s">
        <v>61</v>
      </c>
      <c r="K408" t="s">
        <v>19</v>
      </c>
      <c r="L408" s="5">
        <f t="shared" si="6"/>
        <v>59900</v>
      </c>
    </row>
    <row r="409" spans="1:12" x14ac:dyDescent="0.3">
      <c r="A409" t="s">
        <v>745</v>
      </c>
      <c r="B409" t="s">
        <v>746</v>
      </c>
      <c r="C409" s="2">
        <v>45807</v>
      </c>
      <c r="D409" t="s">
        <v>33</v>
      </c>
      <c r="E409" t="s">
        <v>38</v>
      </c>
      <c r="F409" t="s">
        <v>39</v>
      </c>
      <c r="G409" t="s">
        <v>40</v>
      </c>
      <c r="H409">
        <v>1</v>
      </c>
      <c r="I409">
        <v>6600</v>
      </c>
      <c r="J409" t="s">
        <v>35</v>
      </c>
      <c r="K409" t="s">
        <v>19</v>
      </c>
      <c r="L409" s="5">
        <f t="shared" si="6"/>
        <v>6600</v>
      </c>
    </row>
    <row r="410" spans="1:12" x14ac:dyDescent="0.3">
      <c r="A410" t="s">
        <v>747</v>
      </c>
      <c r="B410" t="s">
        <v>162</v>
      </c>
      <c r="C410" s="2">
        <v>45664</v>
      </c>
      <c r="D410" t="s">
        <v>33</v>
      </c>
      <c r="E410" t="s">
        <v>38</v>
      </c>
      <c r="F410" t="s">
        <v>59</v>
      </c>
      <c r="G410" t="s">
        <v>163</v>
      </c>
      <c r="H410">
        <v>2</v>
      </c>
      <c r="I410">
        <v>4600</v>
      </c>
      <c r="J410" t="s">
        <v>18</v>
      </c>
      <c r="K410" t="s">
        <v>19</v>
      </c>
      <c r="L410" s="5">
        <f t="shared" si="6"/>
        <v>9200</v>
      </c>
    </row>
    <row r="411" spans="1:12" x14ac:dyDescent="0.3">
      <c r="A411" t="s">
        <v>748</v>
      </c>
      <c r="B411" t="s">
        <v>535</v>
      </c>
      <c r="C411" s="2">
        <v>45869</v>
      </c>
      <c r="D411" t="s">
        <v>46</v>
      </c>
      <c r="E411" t="s">
        <v>55</v>
      </c>
      <c r="F411" t="s">
        <v>29</v>
      </c>
      <c r="G411" t="s">
        <v>96</v>
      </c>
      <c r="H411">
        <v>3</v>
      </c>
      <c r="I411">
        <v>3250</v>
      </c>
      <c r="J411" t="s">
        <v>61</v>
      </c>
      <c r="K411" t="s">
        <v>19</v>
      </c>
      <c r="L411" s="5">
        <f t="shared" si="6"/>
        <v>9750</v>
      </c>
    </row>
    <row r="412" spans="1:12" x14ac:dyDescent="0.3">
      <c r="A412" t="s">
        <v>749</v>
      </c>
      <c r="B412" t="s">
        <v>750</v>
      </c>
      <c r="C412" s="2">
        <v>45888</v>
      </c>
      <c r="D412" t="s">
        <v>64</v>
      </c>
      <c r="E412" t="s">
        <v>93</v>
      </c>
      <c r="F412" t="s">
        <v>23</v>
      </c>
      <c r="G412" t="s">
        <v>56</v>
      </c>
      <c r="H412">
        <v>4</v>
      </c>
      <c r="I412">
        <v>40500</v>
      </c>
      <c r="J412" t="s">
        <v>35</v>
      </c>
      <c r="K412" t="s">
        <v>19</v>
      </c>
      <c r="L412" s="5">
        <f t="shared" si="6"/>
        <v>162000</v>
      </c>
    </row>
    <row r="413" spans="1:12" x14ac:dyDescent="0.3">
      <c r="A413" t="s">
        <v>751</v>
      </c>
      <c r="B413" t="s">
        <v>752</v>
      </c>
      <c r="C413" s="2">
        <v>46021</v>
      </c>
      <c r="D413" t="s">
        <v>64</v>
      </c>
      <c r="E413" t="s">
        <v>65</v>
      </c>
      <c r="F413" t="s">
        <v>16</v>
      </c>
      <c r="G413" t="s">
        <v>134</v>
      </c>
      <c r="H413">
        <v>1</v>
      </c>
      <c r="I413">
        <v>8050</v>
      </c>
      <c r="J413" t="s">
        <v>41</v>
      </c>
      <c r="K413" t="s">
        <v>127</v>
      </c>
      <c r="L413" s="5">
        <f t="shared" si="6"/>
        <v>8050</v>
      </c>
    </row>
    <row r="414" spans="1:12" x14ac:dyDescent="0.3">
      <c r="A414" t="s">
        <v>753</v>
      </c>
      <c r="B414" t="s">
        <v>754</v>
      </c>
      <c r="C414" s="2">
        <v>45783</v>
      </c>
      <c r="D414" t="s">
        <v>33</v>
      </c>
      <c r="E414" t="s">
        <v>38</v>
      </c>
      <c r="F414" t="s">
        <v>23</v>
      </c>
      <c r="G414" t="s">
        <v>24</v>
      </c>
      <c r="H414">
        <v>1</v>
      </c>
      <c r="I414">
        <v>61300</v>
      </c>
      <c r="J414" t="s">
        <v>41</v>
      </c>
      <c r="K414" t="s">
        <v>19</v>
      </c>
      <c r="L414" s="5">
        <f t="shared" si="6"/>
        <v>61300</v>
      </c>
    </row>
    <row r="415" spans="1:12" x14ac:dyDescent="0.3">
      <c r="A415" t="s">
        <v>755</v>
      </c>
      <c r="B415" t="s">
        <v>756</v>
      </c>
      <c r="C415" s="2">
        <v>45696</v>
      </c>
      <c r="D415" t="s">
        <v>14</v>
      </c>
      <c r="E415" t="s">
        <v>15</v>
      </c>
      <c r="F415" t="s">
        <v>23</v>
      </c>
      <c r="G415" t="s">
        <v>140</v>
      </c>
      <c r="H415">
        <v>2</v>
      </c>
      <c r="I415">
        <v>14050</v>
      </c>
      <c r="J415" t="s">
        <v>18</v>
      </c>
      <c r="K415" t="s">
        <v>19</v>
      </c>
      <c r="L415" s="5">
        <f t="shared" si="6"/>
        <v>28100</v>
      </c>
    </row>
    <row r="416" spans="1:12" x14ac:dyDescent="0.3">
      <c r="A416" t="s">
        <v>757</v>
      </c>
      <c r="B416" t="s">
        <v>758</v>
      </c>
      <c r="C416" s="2">
        <v>46001</v>
      </c>
      <c r="D416" t="s">
        <v>64</v>
      </c>
      <c r="E416" t="s">
        <v>65</v>
      </c>
      <c r="F416" t="s">
        <v>16</v>
      </c>
      <c r="G416" t="s">
        <v>134</v>
      </c>
      <c r="H416">
        <v>1</v>
      </c>
      <c r="I416">
        <v>8800</v>
      </c>
      <c r="J416" t="s">
        <v>61</v>
      </c>
      <c r="K416" t="s">
        <v>19</v>
      </c>
      <c r="L416" s="5">
        <f t="shared" si="6"/>
        <v>8800</v>
      </c>
    </row>
    <row r="417" spans="1:12" x14ac:dyDescent="0.3">
      <c r="A417" t="s">
        <v>759</v>
      </c>
      <c r="B417" t="s">
        <v>460</v>
      </c>
      <c r="C417" s="2">
        <v>45785</v>
      </c>
      <c r="D417" t="s">
        <v>46</v>
      </c>
      <c r="E417" t="s">
        <v>72</v>
      </c>
      <c r="F417" t="s">
        <v>23</v>
      </c>
      <c r="G417" t="s">
        <v>193</v>
      </c>
      <c r="H417">
        <v>3</v>
      </c>
      <c r="I417">
        <v>36950</v>
      </c>
      <c r="J417" t="s">
        <v>18</v>
      </c>
      <c r="K417" t="s">
        <v>19</v>
      </c>
      <c r="L417" s="5">
        <f t="shared" si="6"/>
        <v>110850</v>
      </c>
    </row>
    <row r="418" spans="1:12" x14ac:dyDescent="0.3">
      <c r="A418" t="s">
        <v>760</v>
      </c>
      <c r="B418" t="s">
        <v>555</v>
      </c>
      <c r="C418" s="2">
        <v>45763</v>
      </c>
      <c r="D418" t="s">
        <v>14</v>
      </c>
      <c r="E418" t="s">
        <v>15</v>
      </c>
      <c r="F418" t="s">
        <v>23</v>
      </c>
      <c r="G418" t="s">
        <v>24</v>
      </c>
      <c r="H418">
        <v>1</v>
      </c>
      <c r="I418">
        <v>32050</v>
      </c>
      <c r="J418" t="s">
        <v>41</v>
      </c>
      <c r="K418" t="s">
        <v>19</v>
      </c>
      <c r="L418" s="5">
        <f t="shared" si="6"/>
        <v>32050</v>
      </c>
    </row>
    <row r="419" spans="1:12" x14ac:dyDescent="0.3">
      <c r="A419" t="s">
        <v>761</v>
      </c>
      <c r="B419" t="s">
        <v>762</v>
      </c>
      <c r="C419" s="2">
        <v>45928</v>
      </c>
      <c r="D419" t="s">
        <v>33</v>
      </c>
      <c r="E419" t="s">
        <v>80</v>
      </c>
      <c r="F419" t="s">
        <v>16</v>
      </c>
      <c r="G419" t="s">
        <v>48</v>
      </c>
      <c r="H419">
        <v>2</v>
      </c>
      <c r="I419">
        <v>3300</v>
      </c>
      <c r="J419" t="s">
        <v>115</v>
      </c>
      <c r="K419" t="s">
        <v>19</v>
      </c>
      <c r="L419" s="5">
        <f t="shared" si="6"/>
        <v>6600</v>
      </c>
    </row>
    <row r="420" spans="1:12" x14ac:dyDescent="0.3">
      <c r="A420" t="s">
        <v>763</v>
      </c>
      <c r="B420" t="s">
        <v>291</v>
      </c>
      <c r="C420" s="2">
        <v>45989</v>
      </c>
      <c r="D420" t="s">
        <v>46</v>
      </c>
      <c r="E420" t="s">
        <v>75</v>
      </c>
      <c r="F420" t="s">
        <v>23</v>
      </c>
      <c r="G420" t="s">
        <v>137</v>
      </c>
      <c r="H420">
        <v>1</v>
      </c>
      <c r="I420">
        <v>61150</v>
      </c>
      <c r="J420" t="s">
        <v>41</v>
      </c>
      <c r="K420" t="s">
        <v>19</v>
      </c>
      <c r="L420" s="5">
        <f t="shared" si="6"/>
        <v>61150</v>
      </c>
    </row>
    <row r="421" spans="1:12" x14ac:dyDescent="0.3">
      <c r="A421" t="s">
        <v>764</v>
      </c>
      <c r="B421" t="s">
        <v>765</v>
      </c>
      <c r="C421" s="2">
        <v>45881</v>
      </c>
      <c r="D421" t="s">
        <v>64</v>
      </c>
      <c r="E421" t="s">
        <v>99</v>
      </c>
      <c r="F421" t="s">
        <v>16</v>
      </c>
      <c r="G421" t="s">
        <v>81</v>
      </c>
      <c r="H421">
        <v>1</v>
      </c>
      <c r="I421">
        <v>7750</v>
      </c>
      <c r="J421" t="s">
        <v>18</v>
      </c>
      <c r="K421" t="s">
        <v>19</v>
      </c>
      <c r="L421" s="5">
        <f t="shared" si="6"/>
        <v>7750</v>
      </c>
    </row>
    <row r="422" spans="1:12" x14ac:dyDescent="0.3">
      <c r="A422" t="s">
        <v>766</v>
      </c>
      <c r="B422" t="s">
        <v>767</v>
      </c>
      <c r="C422" s="2">
        <v>45967</v>
      </c>
      <c r="D422" t="s">
        <v>46</v>
      </c>
      <c r="E422" t="s">
        <v>75</v>
      </c>
      <c r="F422" t="s">
        <v>23</v>
      </c>
      <c r="G422" t="s">
        <v>137</v>
      </c>
      <c r="H422">
        <v>2</v>
      </c>
      <c r="I422">
        <v>12000</v>
      </c>
      <c r="J422" t="s">
        <v>41</v>
      </c>
      <c r="K422" t="s">
        <v>19</v>
      </c>
      <c r="L422" s="5">
        <f t="shared" si="6"/>
        <v>24000</v>
      </c>
    </row>
    <row r="423" spans="1:12" x14ac:dyDescent="0.3">
      <c r="A423" t="s">
        <v>768</v>
      </c>
      <c r="B423" t="s">
        <v>331</v>
      </c>
      <c r="C423" s="2">
        <v>45788</v>
      </c>
      <c r="D423" t="s">
        <v>64</v>
      </c>
      <c r="E423" t="s">
        <v>93</v>
      </c>
      <c r="F423" t="s">
        <v>23</v>
      </c>
      <c r="G423" t="s">
        <v>56</v>
      </c>
      <c r="H423">
        <v>2</v>
      </c>
      <c r="I423">
        <v>9800</v>
      </c>
      <c r="J423" t="s">
        <v>18</v>
      </c>
      <c r="K423" t="s">
        <v>19</v>
      </c>
      <c r="L423" s="5">
        <f t="shared" si="6"/>
        <v>19600</v>
      </c>
    </row>
    <row r="424" spans="1:12" x14ac:dyDescent="0.3">
      <c r="A424" t="s">
        <v>769</v>
      </c>
      <c r="B424" t="s">
        <v>379</v>
      </c>
      <c r="C424" s="2">
        <v>45689</v>
      </c>
      <c r="D424" t="s">
        <v>46</v>
      </c>
      <c r="E424" t="s">
        <v>55</v>
      </c>
      <c r="F424" t="s">
        <v>23</v>
      </c>
      <c r="G424" t="s">
        <v>193</v>
      </c>
      <c r="H424">
        <v>4</v>
      </c>
      <c r="I424">
        <v>60300</v>
      </c>
      <c r="J424" t="s">
        <v>41</v>
      </c>
      <c r="K424" t="s">
        <v>19</v>
      </c>
      <c r="L424" s="5">
        <f t="shared" si="6"/>
        <v>241200</v>
      </c>
    </row>
    <row r="425" spans="1:12" x14ac:dyDescent="0.3">
      <c r="A425" t="s">
        <v>770</v>
      </c>
      <c r="B425" t="s">
        <v>765</v>
      </c>
      <c r="C425" s="2">
        <v>45784</v>
      </c>
      <c r="D425" t="s">
        <v>46</v>
      </c>
      <c r="E425" t="s">
        <v>55</v>
      </c>
      <c r="F425" t="s">
        <v>59</v>
      </c>
      <c r="G425" t="s">
        <v>60</v>
      </c>
      <c r="H425">
        <v>3</v>
      </c>
      <c r="I425">
        <v>2850</v>
      </c>
      <c r="J425" t="s">
        <v>35</v>
      </c>
      <c r="K425" t="s">
        <v>19</v>
      </c>
      <c r="L425" s="5">
        <f t="shared" si="6"/>
        <v>8550</v>
      </c>
    </row>
    <row r="426" spans="1:12" x14ac:dyDescent="0.3">
      <c r="A426" t="s">
        <v>771</v>
      </c>
      <c r="B426" t="s">
        <v>772</v>
      </c>
      <c r="C426" s="2">
        <v>45933</v>
      </c>
      <c r="D426" t="s">
        <v>46</v>
      </c>
      <c r="E426" t="s">
        <v>72</v>
      </c>
      <c r="F426" t="s">
        <v>23</v>
      </c>
      <c r="G426" t="s">
        <v>137</v>
      </c>
      <c r="H426">
        <v>2</v>
      </c>
      <c r="I426">
        <v>38550</v>
      </c>
      <c r="J426" t="s">
        <v>35</v>
      </c>
      <c r="K426" t="s">
        <v>19</v>
      </c>
      <c r="L426" s="5">
        <f t="shared" si="6"/>
        <v>77100</v>
      </c>
    </row>
    <row r="427" spans="1:12" x14ac:dyDescent="0.3">
      <c r="A427" t="s">
        <v>773</v>
      </c>
      <c r="B427" t="s">
        <v>774</v>
      </c>
      <c r="C427" s="2">
        <v>45766</v>
      </c>
      <c r="D427" t="s">
        <v>14</v>
      </c>
      <c r="E427" t="s">
        <v>51</v>
      </c>
      <c r="F427" t="s">
        <v>16</v>
      </c>
      <c r="G427" t="s">
        <v>143</v>
      </c>
      <c r="H427">
        <v>1</v>
      </c>
      <c r="I427">
        <v>5100</v>
      </c>
      <c r="J427" t="s">
        <v>18</v>
      </c>
      <c r="K427" t="s">
        <v>19</v>
      </c>
      <c r="L427" s="5">
        <f t="shared" si="6"/>
        <v>5100</v>
      </c>
    </row>
    <row r="428" spans="1:12" x14ac:dyDescent="0.3">
      <c r="A428" t="s">
        <v>775</v>
      </c>
      <c r="B428" t="s">
        <v>527</v>
      </c>
      <c r="C428" s="2">
        <v>45659</v>
      </c>
      <c r="D428" t="s">
        <v>14</v>
      </c>
      <c r="E428" t="s">
        <v>28</v>
      </c>
      <c r="F428" t="s">
        <v>39</v>
      </c>
      <c r="G428" t="s">
        <v>87</v>
      </c>
      <c r="H428">
        <v>1</v>
      </c>
      <c r="I428">
        <v>6100</v>
      </c>
      <c r="J428" t="s">
        <v>35</v>
      </c>
      <c r="K428" t="s">
        <v>19</v>
      </c>
      <c r="L428" s="5">
        <f t="shared" si="6"/>
        <v>6100</v>
      </c>
    </row>
    <row r="429" spans="1:12" x14ac:dyDescent="0.3">
      <c r="A429" t="s">
        <v>776</v>
      </c>
      <c r="B429" t="s">
        <v>777</v>
      </c>
      <c r="C429" s="2">
        <v>45806</v>
      </c>
      <c r="D429" t="s">
        <v>64</v>
      </c>
      <c r="E429" t="s">
        <v>99</v>
      </c>
      <c r="F429" t="s">
        <v>59</v>
      </c>
      <c r="G429" t="s">
        <v>103</v>
      </c>
      <c r="H429">
        <v>1</v>
      </c>
      <c r="I429">
        <v>3900</v>
      </c>
      <c r="J429" t="s">
        <v>61</v>
      </c>
      <c r="K429" t="s">
        <v>19</v>
      </c>
      <c r="L429" s="5">
        <f t="shared" si="6"/>
        <v>3900</v>
      </c>
    </row>
    <row r="430" spans="1:12" x14ac:dyDescent="0.3">
      <c r="A430" t="s">
        <v>778</v>
      </c>
      <c r="B430" t="s">
        <v>145</v>
      </c>
      <c r="C430" s="2">
        <v>45837</v>
      </c>
      <c r="D430" t="s">
        <v>33</v>
      </c>
      <c r="E430" t="s">
        <v>34</v>
      </c>
      <c r="F430" t="s">
        <v>23</v>
      </c>
      <c r="G430" t="s">
        <v>56</v>
      </c>
      <c r="H430">
        <v>1</v>
      </c>
      <c r="I430">
        <v>43800</v>
      </c>
      <c r="J430" t="s">
        <v>35</v>
      </c>
      <c r="K430" t="s">
        <v>19</v>
      </c>
      <c r="L430" s="5">
        <f t="shared" si="6"/>
        <v>43800</v>
      </c>
    </row>
    <row r="431" spans="1:12" x14ac:dyDescent="0.3">
      <c r="A431" t="s">
        <v>779</v>
      </c>
      <c r="B431" t="s">
        <v>272</v>
      </c>
      <c r="C431" s="2">
        <v>45928</v>
      </c>
      <c r="D431" t="s">
        <v>33</v>
      </c>
      <c r="E431" t="s">
        <v>38</v>
      </c>
      <c r="F431" t="s">
        <v>23</v>
      </c>
      <c r="G431" t="s">
        <v>56</v>
      </c>
      <c r="H431">
        <v>3</v>
      </c>
      <c r="I431">
        <v>64750</v>
      </c>
      <c r="J431" t="s">
        <v>35</v>
      </c>
      <c r="K431" t="s">
        <v>19</v>
      </c>
      <c r="L431" s="5">
        <f t="shared" si="6"/>
        <v>194250</v>
      </c>
    </row>
    <row r="432" spans="1:12" x14ac:dyDescent="0.3">
      <c r="A432" t="s">
        <v>780</v>
      </c>
      <c r="B432" t="s">
        <v>217</v>
      </c>
      <c r="C432" s="2">
        <v>45847</v>
      </c>
      <c r="D432" t="s">
        <v>14</v>
      </c>
      <c r="E432" t="s">
        <v>51</v>
      </c>
      <c r="F432" t="s">
        <v>16</v>
      </c>
      <c r="G432" t="s">
        <v>17</v>
      </c>
      <c r="H432">
        <v>4</v>
      </c>
      <c r="I432">
        <v>1900</v>
      </c>
      <c r="J432" t="s">
        <v>35</v>
      </c>
      <c r="K432" t="s">
        <v>19</v>
      </c>
      <c r="L432" s="5">
        <f t="shared" si="6"/>
        <v>7600</v>
      </c>
    </row>
    <row r="433" spans="1:12" x14ac:dyDescent="0.3">
      <c r="A433" t="s">
        <v>781</v>
      </c>
      <c r="B433" t="s">
        <v>691</v>
      </c>
      <c r="C433" s="2">
        <v>45999</v>
      </c>
      <c r="D433" t="s">
        <v>64</v>
      </c>
      <c r="E433" t="s">
        <v>99</v>
      </c>
      <c r="F433" t="s">
        <v>23</v>
      </c>
      <c r="G433" t="s">
        <v>24</v>
      </c>
      <c r="H433">
        <v>2</v>
      </c>
      <c r="I433">
        <v>15950</v>
      </c>
      <c r="J433" t="s">
        <v>41</v>
      </c>
      <c r="K433" t="s">
        <v>69</v>
      </c>
      <c r="L433" s="5">
        <f t="shared" si="6"/>
        <v>31900</v>
      </c>
    </row>
    <row r="434" spans="1:12" x14ac:dyDescent="0.3">
      <c r="A434" t="s">
        <v>782</v>
      </c>
      <c r="B434" t="s">
        <v>295</v>
      </c>
      <c r="C434" s="2">
        <v>45806</v>
      </c>
      <c r="D434" t="s">
        <v>64</v>
      </c>
      <c r="F434" t="s">
        <v>23</v>
      </c>
      <c r="G434" t="s">
        <v>137</v>
      </c>
      <c r="H434">
        <v>3</v>
      </c>
      <c r="I434">
        <v>34450</v>
      </c>
      <c r="J434" t="s">
        <v>18</v>
      </c>
      <c r="K434" t="s">
        <v>19</v>
      </c>
      <c r="L434" s="5">
        <f t="shared" si="6"/>
        <v>103350</v>
      </c>
    </row>
    <row r="435" spans="1:12" x14ac:dyDescent="0.3">
      <c r="A435" t="s">
        <v>783</v>
      </c>
      <c r="B435" t="s">
        <v>213</v>
      </c>
      <c r="C435" s="2">
        <v>45950</v>
      </c>
      <c r="D435" t="s">
        <v>64</v>
      </c>
      <c r="E435" t="s">
        <v>93</v>
      </c>
      <c r="F435" t="s">
        <v>39</v>
      </c>
      <c r="G435" t="s">
        <v>87</v>
      </c>
      <c r="H435">
        <v>2</v>
      </c>
      <c r="I435">
        <v>6300</v>
      </c>
      <c r="J435" t="s">
        <v>18</v>
      </c>
      <c r="K435" t="s">
        <v>127</v>
      </c>
      <c r="L435" s="5">
        <f t="shared" si="6"/>
        <v>12600</v>
      </c>
    </row>
    <row r="436" spans="1:12" x14ac:dyDescent="0.3">
      <c r="A436" t="s">
        <v>784</v>
      </c>
      <c r="B436" t="s">
        <v>785</v>
      </c>
      <c r="C436" s="2">
        <v>45885</v>
      </c>
      <c r="D436" t="s">
        <v>14</v>
      </c>
      <c r="E436" t="s">
        <v>51</v>
      </c>
      <c r="F436" t="s">
        <v>39</v>
      </c>
      <c r="G436" t="s">
        <v>44</v>
      </c>
      <c r="H436">
        <v>4</v>
      </c>
      <c r="I436">
        <v>3200</v>
      </c>
      <c r="J436" t="s">
        <v>18</v>
      </c>
      <c r="K436" t="s">
        <v>19</v>
      </c>
      <c r="L436" s="5">
        <f t="shared" si="6"/>
        <v>12800</v>
      </c>
    </row>
    <row r="437" spans="1:12" x14ac:dyDescent="0.3">
      <c r="A437" t="s">
        <v>786</v>
      </c>
      <c r="B437" t="s">
        <v>787</v>
      </c>
      <c r="C437" s="2">
        <v>45953</v>
      </c>
      <c r="D437" t="s">
        <v>14</v>
      </c>
      <c r="E437" t="s">
        <v>28</v>
      </c>
      <c r="F437" t="s">
        <v>29</v>
      </c>
      <c r="G437" t="s">
        <v>96</v>
      </c>
      <c r="H437">
        <v>1</v>
      </c>
      <c r="I437">
        <v>1500</v>
      </c>
      <c r="J437" t="s">
        <v>61</v>
      </c>
      <c r="K437" t="s">
        <v>19</v>
      </c>
      <c r="L437" s="5">
        <f t="shared" si="6"/>
        <v>1500</v>
      </c>
    </row>
    <row r="438" spans="1:12" x14ac:dyDescent="0.3">
      <c r="A438" t="s">
        <v>788</v>
      </c>
      <c r="B438" t="s">
        <v>575</v>
      </c>
      <c r="C438" s="2">
        <v>45733</v>
      </c>
      <c r="D438" t="s">
        <v>14</v>
      </c>
      <c r="E438" t="s">
        <v>15</v>
      </c>
      <c r="F438" t="s">
        <v>29</v>
      </c>
      <c r="G438" t="s">
        <v>30</v>
      </c>
      <c r="H438">
        <v>1</v>
      </c>
      <c r="I438">
        <v>3850</v>
      </c>
      <c r="J438" t="s">
        <v>18</v>
      </c>
      <c r="K438" t="s">
        <v>19</v>
      </c>
      <c r="L438" s="5">
        <f t="shared" si="6"/>
        <v>3850</v>
      </c>
    </row>
    <row r="439" spans="1:12" x14ac:dyDescent="0.3">
      <c r="A439" t="s">
        <v>789</v>
      </c>
      <c r="B439" t="s">
        <v>276</v>
      </c>
      <c r="C439" s="2">
        <v>46017</v>
      </c>
      <c r="D439" t="s">
        <v>33</v>
      </c>
      <c r="E439" t="s">
        <v>38</v>
      </c>
      <c r="F439" t="s">
        <v>23</v>
      </c>
      <c r="G439" t="s">
        <v>137</v>
      </c>
      <c r="H439">
        <v>1</v>
      </c>
      <c r="I439">
        <v>12900</v>
      </c>
      <c r="J439" t="s">
        <v>18</v>
      </c>
      <c r="K439" t="s">
        <v>69</v>
      </c>
      <c r="L439" s="5">
        <f t="shared" si="6"/>
        <v>12900</v>
      </c>
    </row>
    <row r="440" spans="1:12" x14ac:dyDescent="0.3">
      <c r="A440" t="s">
        <v>790</v>
      </c>
      <c r="B440" t="s">
        <v>791</v>
      </c>
      <c r="C440" s="2">
        <v>45701</v>
      </c>
      <c r="D440" t="s">
        <v>14</v>
      </c>
      <c r="E440" t="s">
        <v>28</v>
      </c>
      <c r="F440" t="s">
        <v>29</v>
      </c>
      <c r="G440" t="s">
        <v>96</v>
      </c>
      <c r="H440">
        <v>1</v>
      </c>
      <c r="I440">
        <v>6150</v>
      </c>
      <c r="J440" t="s">
        <v>18</v>
      </c>
      <c r="K440" t="s">
        <v>19</v>
      </c>
      <c r="L440" s="5">
        <f t="shared" si="6"/>
        <v>6150</v>
      </c>
    </row>
    <row r="441" spans="1:12" x14ac:dyDescent="0.3">
      <c r="A441" t="s">
        <v>792</v>
      </c>
      <c r="B441" t="s">
        <v>389</v>
      </c>
      <c r="C441" s="2">
        <v>45903</v>
      </c>
      <c r="D441" t="s">
        <v>46</v>
      </c>
      <c r="E441" t="s">
        <v>47</v>
      </c>
      <c r="F441" t="s">
        <v>16</v>
      </c>
      <c r="G441" t="s">
        <v>48</v>
      </c>
      <c r="H441">
        <v>4</v>
      </c>
      <c r="I441">
        <v>8100</v>
      </c>
      <c r="J441" t="s">
        <v>18</v>
      </c>
      <c r="K441" t="s">
        <v>19</v>
      </c>
      <c r="L441" s="5">
        <f t="shared" si="6"/>
        <v>32400</v>
      </c>
    </row>
    <row r="442" spans="1:12" x14ac:dyDescent="0.3">
      <c r="A442" t="s">
        <v>793</v>
      </c>
      <c r="B442" t="s">
        <v>501</v>
      </c>
      <c r="C442" s="2">
        <v>45951</v>
      </c>
      <c r="D442" t="s">
        <v>14</v>
      </c>
      <c r="E442" t="s">
        <v>51</v>
      </c>
      <c r="F442" t="s">
        <v>23</v>
      </c>
      <c r="G442" t="s">
        <v>24</v>
      </c>
      <c r="H442">
        <v>3</v>
      </c>
      <c r="I442">
        <v>56200</v>
      </c>
      <c r="J442" t="s">
        <v>18</v>
      </c>
      <c r="K442" t="s">
        <v>19</v>
      </c>
      <c r="L442" s="5">
        <f t="shared" si="6"/>
        <v>168600</v>
      </c>
    </row>
    <row r="443" spans="1:12" x14ac:dyDescent="0.3">
      <c r="A443" t="s">
        <v>794</v>
      </c>
      <c r="B443" t="s">
        <v>577</v>
      </c>
      <c r="C443" s="2">
        <v>45770</v>
      </c>
      <c r="D443" t="s">
        <v>14</v>
      </c>
      <c r="E443" t="s">
        <v>15</v>
      </c>
      <c r="F443" t="s">
        <v>29</v>
      </c>
      <c r="G443" t="s">
        <v>90</v>
      </c>
      <c r="H443">
        <v>2</v>
      </c>
      <c r="I443">
        <v>6000</v>
      </c>
      <c r="J443" t="s">
        <v>41</v>
      </c>
      <c r="K443" t="s">
        <v>19</v>
      </c>
      <c r="L443" s="5">
        <f t="shared" si="6"/>
        <v>12000</v>
      </c>
    </row>
    <row r="444" spans="1:12" x14ac:dyDescent="0.3">
      <c r="A444" t="s">
        <v>795</v>
      </c>
      <c r="B444" t="s">
        <v>661</v>
      </c>
      <c r="C444" s="2">
        <v>45697</v>
      </c>
      <c r="D444" t="s">
        <v>64</v>
      </c>
      <c r="E444" t="s">
        <v>65</v>
      </c>
      <c r="F444" t="s">
        <v>23</v>
      </c>
      <c r="G444" t="s">
        <v>140</v>
      </c>
      <c r="H444">
        <v>1</v>
      </c>
      <c r="I444">
        <v>38100</v>
      </c>
      <c r="J444" t="s">
        <v>61</v>
      </c>
      <c r="K444" t="s">
        <v>19</v>
      </c>
      <c r="L444" s="5">
        <f t="shared" si="6"/>
        <v>38100</v>
      </c>
    </row>
    <row r="445" spans="1:12" x14ac:dyDescent="0.3">
      <c r="A445" t="s">
        <v>796</v>
      </c>
      <c r="B445" t="s">
        <v>186</v>
      </c>
      <c r="C445" s="2">
        <v>45694</v>
      </c>
      <c r="D445" t="s">
        <v>46</v>
      </c>
      <c r="E445" t="s">
        <v>55</v>
      </c>
      <c r="F445" t="s">
        <v>16</v>
      </c>
      <c r="G445" t="s">
        <v>143</v>
      </c>
      <c r="H445">
        <v>3</v>
      </c>
      <c r="I445">
        <v>7500</v>
      </c>
      <c r="J445" t="s">
        <v>18</v>
      </c>
      <c r="K445" t="s">
        <v>19</v>
      </c>
      <c r="L445" s="5">
        <f t="shared" si="6"/>
        <v>22500</v>
      </c>
    </row>
    <row r="446" spans="1:12" x14ac:dyDescent="0.3">
      <c r="A446" t="s">
        <v>797</v>
      </c>
      <c r="B446" t="s">
        <v>798</v>
      </c>
      <c r="C446" s="2">
        <v>45924</v>
      </c>
      <c r="D446" t="s">
        <v>64</v>
      </c>
      <c r="E446" t="s">
        <v>99</v>
      </c>
      <c r="F446" t="s">
        <v>23</v>
      </c>
      <c r="G446" t="s">
        <v>137</v>
      </c>
      <c r="H446">
        <v>2</v>
      </c>
      <c r="I446">
        <v>5000</v>
      </c>
      <c r="J446" t="s">
        <v>35</v>
      </c>
      <c r="K446" t="s">
        <v>19</v>
      </c>
      <c r="L446" s="5">
        <f t="shared" si="6"/>
        <v>10000</v>
      </c>
    </row>
    <row r="447" spans="1:12" x14ac:dyDescent="0.3">
      <c r="A447" t="s">
        <v>799</v>
      </c>
      <c r="B447" t="s">
        <v>800</v>
      </c>
      <c r="C447" s="2">
        <v>45751</v>
      </c>
      <c r="D447" t="s">
        <v>46</v>
      </c>
      <c r="E447" t="s">
        <v>75</v>
      </c>
      <c r="F447" t="s">
        <v>29</v>
      </c>
      <c r="G447" t="s">
        <v>30</v>
      </c>
      <c r="H447">
        <v>1</v>
      </c>
      <c r="I447">
        <v>4700</v>
      </c>
      <c r="J447" t="s">
        <v>115</v>
      </c>
      <c r="K447" t="s">
        <v>127</v>
      </c>
      <c r="L447" s="5">
        <f t="shared" si="6"/>
        <v>4700</v>
      </c>
    </row>
    <row r="448" spans="1:12" x14ac:dyDescent="0.3">
      <c r="A448" t="s">
        <v>801</v>
      </c>
      <c r="B448" t="s">
        <v>565</v>
      </c>
      <c r="C448" s="2">
        <v>45697</v>
      </c>
      <c r="D448" t="s">
        <v>33</v>
      </c>
      <c r="E448" t="s">
        <v>68</v>
      </c>
      <c r="F448" t="s">
        <v>23</v>
      </c>
      <c r="G448" t="s">
        <v>193</v>
      </c>
      <c r="H448">
        <v>1</v>
      </c>
      <c r="I448">
        <v>10000</v>
      </c>
      <c r="J448" t="s">
        <v>18</v>
      </c>
      <c r="K448" t="s">
        <v>19</v>
      </c>
      <c r="L448" s="5">
        <f t="shared" si="6"/>
        <v>10000</v>
      </c>
    </row>
    <row r="449" spans="1:12" x14ac:dyDescent="0.3">
      <c r="A449" t="s">
        <v>802</v>
      </c>
      <c r="B449" t="s">
        <v>114</v>
      </c>
      <c r="C449" s="2">
        <v>45865</v>
      </c>
      <c r="D449" t="s">
        <v>14</v>
      </c>
      <c r="E449" t="s">
        <v>28</v>
      </c>
      <c r="F449" t="s">
        <v>39</v>
      </c>
      <c r="G449" t="s">
        <v>146</v>
      </c>
      <c r="H449">
        <v>3</v>
      </c>
      <c r="I449">
        <v>7050</v>
      </c>
      <c r="J449" t="s">
        <v>35</v>
      </c>
      <c r="K449" t="s">
        <v>19</v>
      </c>
      <c r="L449" s="5">
        <f t="shared" si="6"/>
        <v>21150</v>
      </c>
    </row>
    <row r="450" spans="1:12" x14ac:dyDescent="0.3">
      <c r="A450" t="s">
        <v>803</v>
      </c>
      <c r="B450" t="s">
        <v>804</v>
      </c>
      <c r="C450" s="2">
        <v>45671</v>
      </c>
      <c r="D450" t="s">
        <v>14</v>
      </c>
      <c r="E450" t="s">
        <v>22</v>
      </c>
      <c r="F450" t="s">
        <v>16</v>
      </c>
      <c r="G450" t="s">
        <v>143</v>
      </c>
      <c r="H450">
        <v>3</v>
      </c>
      <c r="I450">
        <v>1600</v>
      </c>
      <c r="J450" t="s">
        <v>18</v>
      </c>
      <c r="K450" t="s">
        <v>69</v>
      </c>
      <c r="L450" s="5">
        <f t="shared" si="6"/>
        <v>4800</v>
      </c>
    </row>
    <row r="451" spans="1:12" x14ac:dyDescent="0.3">
      <c r="A451" t="s">
        <v>805</v>
      </c>
      <c r="B451" t="s">
        <v>806</v>
      </c>
      <c r="C451" s="2">
        <v>45854</v>
      </c>
      <c r="D451" t="s">
        <v>33</v>
      </c>
      <c r="E451" t="s">
        <v>80</v>
      </c>
      <c r="F451" t="s">
        <v>16</v>
      </c>
      <c r="G451" t="s">
        <v>17</v>
      </c>
      <c r="H451">
        <v>1</v>
      </c>
      <c r="I451">
        <v>3600</v>
      </c>
      <c r="J451" t="s">
        <v>18</v>
      </c>
      <c r="K451" t="s">
        <v>69</v>
      </c>
      <c r="L451" s="5">
        <f t="shared" ref="L451:L514" si="7">H451*I451</f>
        <v>3600</v>
      </c>
    </row>
    <row r="452" spans="1:12" x14ac:dyDescent="0.3">
      <c r="A452" t="s">
        <v>807</v>
      </c>
      <c r="B452" t="s">
        <v>808</v>
      </c>
      <c r="C452" s="2">
        <v>45899</v>
      </c>
      <c r="D452" t="s">
        <v>33</v>
      </c>
      <c r="E452" t="s">
        <v>38</v>
      </c>
      <c r="F452" t="s">
        <v>39</v>
      </c>
      <c r="G452" t="s">
        <v>146</v>
      </c>
      <c r="H452">
        <v>1</v>
      </c>
      <c r="I452">
        <v>800</v>
      </c>
      <c r="J452" t="s">
        <v>41</v>
      </c>
      <c r="K452" t="s">
        <v>19</v>
      </c>
      <c r="L452" s="5">
        <f t="shared" si="7"/>
        <v>800</v>
      </c>
    </row>
    <row r="453" spans="1:12" x14ac:dyDescent="0.3">
      <c r="A453" t="s">
        <v>809</v>
      </c>
      <c r="B453" t="s">
        <v>723</v>
      </c>
      <c r="C453" s="2">
        <v>45994</v>
      </c>
      <c r="D453" t="s">
        <v>46</v>
      </c>
      <c r="E453" t="s">
        <v>47</v>
      </c>
      <c r="F453" t="s">
        <v>39</v>
      </c>
      <c r="G453" t="s">
        <v>146</v>
      </c>
      <c r="H453">
        <v>1</v>
      </c>
      <c r="I453">
        <v>1150</v>
      </c>
      <c r="J453" t="s">
        <v>18</v>
      </c>
      <c r="K453" t="s">
        <v>19</v>
      </c>
      <c r="L453" s="5">
        <f t="shared" si="7"/>
        <v>1150</v>
      </c>
    </row>
    <row r="454" spans="1:12" x14ac:dyDescent="0.3">
      <c r="A454" t="s">
        <v>810</v>
      </c>
      <c r="B454" t="s">
        <v>71</v>
      </c>
      <c r="C454" s="2">
        <v>46020</v>
      </c>
      <c r="D454" t="s">
        <v>33</v>
      </c>
      <c r="E454" t="s">
        <v>34</v>
      </c>
      <c r="F454" t="s">
        <v>29</v>
      </c>
      <c r="G454" t="s">
        <v>30</v>
      </c>
      <c r="H454">
        <v>1</v>
      </c>
      <c r="I454">
        <v>7550</v>
      </c>
      <c r="J454" t="s">
        <v>18</v>
      </c>
      <c r="K454" t="s">
        <v>19</v>
      </c>
      <c r="L454" s="5">
        <f t="shared" si="7"/>
        <v>7550</v>
      </c>
    </row>
    <row r="455" spans="1:12" x14ac:dyDescent="0.3">
      <c r="A455" t="s">
        <v>811</v>
      </c>
      <c r="B455" t="s">
        <v>387</v>
      </c>
      <c r="C455" s="2">
        <v>45953</v>
      </c>
      <c r="D455" t="s">
        <v>14</v>
      </c>
      <c r="E455" t="s">
        <v>51</v>
      </c>
      <c r="F455" t="s">
        <v>39</v>
      </c>
      <c r="G455" t="s">
        <v>87</v>
      </c>
      <c r="H455">
        <v>2</v>
      </c>
      <c r="I455">
        <v>5550</v>
      </c>
      <c r="J455" t="s">
        <v>18</v>
      </c>
      <c r="K455" t="s">
        <v>19</v>
      </c>
      <c r="L455" s="5">
        <f t="shared" si="7"/>
        <v>11100</v>
      </c>
    </row>
    <row r="456" spans="1:12" x14ac:dyDescent="0.3">
      <c r="A456" t="s">
        <v>812</v>
      </c>
      <c r="B456" t="s">
        <v>813</v>
      </c>
      <c r="C456" s="2">
        <v>45793</v>
      </c>
      <c r="D456" t="s">
        <v>46</v>
      </c>
      <c r="E456" t="s">
        <v>55</v>
      </c>
      <c r="F456" t="s">
        <v>23</v>
      </c>
      <c r="G456" t="s">
        <v>140</v>
      </c>
      <c r="H456">
        <v>1</v>
      </c>
      <c r="I456">
        <v>27650</v>
      </c>
      <c r="J456" t="s">
        <v>61</v>
      </c>
      <c r="K456" t="s">
        <v>19</v>
      </c>
      <c r="L456" s="5">
        <f t="shared" si="7"/>
        <v>27650</v>
      </c>
    </row>
    <row r="457" spans="1:12" x14ac:dyDescent="0.3">
      <c r="A457" t="s">
        <v>814</v>
      </c>
      <c r="B457" t="s">
        <v>124</v>
      </c>
      <c r="C457" s="2">
        <v>45970</v>
      </c>
      <c r="D457" t="s">
        <v>14</v>
      </c>
      <c r="E457" t="s">
        <v>28</v>
      </c>
      <c r="F457" t="s">
        <v>29</v>
      </c>
      <c r="G457" t="s">
        <v>96</v>
      </c>
      <c r="H457">
        <v>3</v>
      </c>
      <c r="I457">
        <v>2100</v>
      </c>
      <c r="J457" t="s">
        <v>115</v>
      </c>
      <c r="K457" t="s">
        <v>69</v>
      </c>
      <c r="L457" s="5">
        <f t="shared" si="7"/>
        <v>6300</v>
      </c>
    </row>
    <row r="458" spans="1:12" x14ac:dyDescent="0.3">
      <c r="A458" t="s">
        <v>815</v>
      </c>
      <c r="B458" t="s">
        <v>816</v>
      </c>
      <c r="C458" s="2">
        <v>45808</v>
      </c>
      <c r="D458" t="s">
        <v>14</v>
      </c>
      <c r="E458" t="s">
        <v>22</v>
      </c>
      <c r="F458" t="s">
        <v>16</v>
      </c>
      <c r="G458" t="s">
        <v>48</v>
      </c>
      <c r="H458">
        <v>1</v>
      </c>
      <c r="I458">
        <v>6200</v>
      </c>
      <c r="J458" t="s">
        <v>35</v>
      </c>
      <c r="K458" t="s">
        <v>127</v>
      </c>
      <c r="L458" s="5">
        <f t="shared" si="7"/>
        <v>6200</v>
      </c>
    </row>
    <row r="459" spans="1:12" x14ac:dyDescent="0.3">
      <c r="A459" t="s">
        <v>817</v>
      </c>
      <c r="B459" t="s">
        <v>460</v>
      </c>
      <c r="C459" s="2">
        <v>45753</v>
      </c>
      <c r="D459" t="s">
        <v>14</v>
      </c>
      <c r="E459" t="s">
        <v>15</v>
      </c>
      <c r="F459" t="s">
        <v>39</v>
      </c>
      <c r="G459" t="s">
        <v>40</v>
      </c>
      <c r="H459">
        <v>4</v>
      </c>
      <c r="I459">
        <v>4100</v>
      </c>
      <c r="J459" t="s">
        <v>18</v>
      </c>
      <c r="K459" t="s">
        <v>127</v>
      </c>
      <c r="L459" s="5">
        <f t="shared" si="7"/>
        <v>16400</v>
      </c>
    </row>
    <row r="460" spans="1:12" x14ac:dyDescent="0.3">
      <c r="A460" t="s">
        <v>818</v>
      </c>
      <c r="B460" t="s">
        <v>154</v>
      </c>
      <c r="C460" s="2">
        <v>45994</v>
      </c>
      <c r="D460" t="s">
        <v>33</v>
      </c>
      <c r="E460" t="s">
        <v>34</v>
      </c>
      <c r="F460" t="s">
        <v>23</v>
      </c>
      <c r="G460" t="s">
        <v>193</v>
      </c>
      <c r="H460">
        <v>2</v>
      </c>
      <c r="I460">
        <v>57550</v>
      </c>
      <c r="J460" t="s">
        <v>61</v>
      </c>
      <c r="K460" t="s">
        <v>19</v>
      </c>
      <c r="L460" s="5">
        <f t="shared" si="7"/>
        <v>115100</v>
      </c>
    </row>
    <row r="461" spans="1:12" x14ac:dyDescent="0.3">
      <c r="A461" t="s">
        <v>819</v>
      </c>
      <c r="B461" t="s">
        <v>317</v>
      </c>
      <c r="C461" s="2">
        <v>45908</v>
      </c>
      <c r="D461" t="s">
        <v>46</v>
      </c>
      <c r="E461" t="s">
        <v>55</v>
      </c>
      <c r="F461" t="s">
        <v>59</v>
      </c>
      <c r="G461" t="s">
        <v>163</v>
      </c>
      <c r="H461">
        <v>4</v>
      </c>
      <c r="I461">
        <v>4050</v>
      </c>
      <c r="J461" t="s">
        <v>41</v>
      </c>
      <c r="K461" t="s">
        <v>127</v>
      </c>
      <c r="L461" s="5">
        <f t="shared" si="7"/>
        <v>16200</v>
      </c>
    </row>
    <row r="462" spans="1:12" x14ac:dyDescent="0.3">
      <c r="A462" t="s">
        <v>820</v>
      </c>
      <c r="B462" t="s">
        <v>626</v>
      </c>
      <c r="C462" s="2">
        <v>45740</v>
      </c>
      <c r="D462" t="s">
        <v>64</v>
      </c>
      <c r="E462" t="s">
        <v>93</v>
      </c>
      <c r="F462" t="s">
        <v>59</v>
      </c>
      <c r="G462" t="s">
        <v>103</v>
      </c>
      <c r="H462">
        <v>1</v>
      </c>
      <c r="I462">
        <v>2400</v>
      </c>
      <c r="J462" t="s">
        <v>18</v>
      </c>
      <c r="K462" t="s">
        <v>19</v>
      </c>
      <c r="L462" s="5">
        <f t="shared" si="7"/>
        <v>2400</v>
      </c>
    </row>
    <row r="463" spans="1:12" x14ac:dyDescent="0.3">
      <c r="A463" t="s">
        <v>821</v>
      </c>
      <c r="B463" t="s">
        <v>319</v>
      </c>
      <c r="C463" s="2">
        <v>45731</v>
      </c>
      <c r="D463" t="s">
        <v>14</v>
      </c>
      <c r="E463" t="s">
        <v>15</v>
      </c>
      <c r="F463" t="s">
        <v>39</v>
      </c>
      <c r="G463" t="s">
        <v>52</v>
      </c>
      <c r="H463">
        <v>3</v>
      </c>
      <c r="I463">
        <v>9200</v>
      </c>
      <c r="J463" t="s">
        <v>18</v>
      </c>
      <c r="K463" t="s">
        <v>19</v>
      </c>
      <c r="L463" s="5">
        <f t="shared" si="7"/>
        <v>27600</v>
      </c>
    </row>
    <row r="464" spans="1:12" x14ac:dyDescent="0.3">
      <c r="A464" t="s">
        <v>822</v>
      </c>
      <c r="B464" t="s">
        <v>278</v>
      </c>
      <c r="C464" s="2">
        <v>45923</v>
      </c>
      <c r="D464" t="s">
        <v>64</v>
      </c>
      <c r="E464" t="s">
        <v>86</v>
      </c>
      <c r="F464" t="s">
        <v>39</v>
      </c>
      <c r="G464" t="s">
        <v>146</v>
      </c>
      <c r="H464">
        <v>1</v>
      </c>
      <c r="I464">
        <v>1450</v>
      </c>
      <c r="J464" t="s">
        <v>35</v>
      </c>
      <c r="K464" t="s">
        <v>19</v>
      </c>
      <c r="L464" s="5">
        <f t="shared" si="7"/>
        <v>1450</v>
      </c>
    </row>
    <row r="465" spans="1:12" x14ac:dyDescent="0.3">
      <c r="A465" t="s">
        <v>823</v>
      </c>
      <c r="B465" t="s">
        <v>543</v>
      </c>
      <c r="C465" s="2">
        <v>45778</v>
      </c>
      <c r="D465" t="s">
        <v>46</v>
      </c>
      <c r="E465" t="s">
        <v>47</v>
      </c>
      <c r="F465" t="s">
        <v>23</v>
      </c>
      <c r="G465" t="s">
        <v>24</v>
      </c>
      <c r="H465">
        <v>1</v>
      </c>
      <c r="I465">
        <v>63350</v>
      </c>
      <c r="J465" t="s">
        <v>18</v>
      </c>
      <c r="K465" t="s">
        <v>127</v>
      </c>
      <c r="L465" s="5">
        <f t="shared" si="7"/>
        <v>63350</v>
      </c>
    </row>
    <row r="466" spans="1:12" x14ac:dyDescent="0.3">
      <c r="A466" t="s">
        <v>824</v>
      </c>
      <c r="B466" t="s">
        <v>175</v>
      </c>
      <c r="C466" s="2">
        <v>46021</v>
      </c>
      <c r="D466" t="s">
        <v>14</v>
      </c>
      <c r="E466" t="s">
        <v>51</v>
      </c>
      <c r="F466" t="s">
        <v>16</v>
      </c>
      <c r="G466" t="s">
        <v>81</v>
      </c>
      <c r="H466">
        <v>3</v>
      </c>
      <c r="I466">
        <v>350</v>
      </c>
      <c r="J466" t="s">
        <v>35</v>
      </c>
      <c r="K466" t="s">
        <v>69</v>
      </c>
      <c r="L466" s="5">
        <f t="shared" si="7"/>
        <v>1050</v>
      </c>
    </row>
    <row r="467" spans="1:12" x14ac:dyDescent="0.3">
      <c r="A467" t="s">
        <v>825</v>
      </c>
      <c r="B467" t="s">
        <v>826</v>
      </c>
      <c r="C467" s="2">
        <v>45729</v>
      </c>
      <c r="D467" t="s">
        <v>64</v>
      </c>
      <c r="E467" t="s">
        <v>99</v>
      </c>
      <c r="F467" t="s">
        <v>16</v>
      </c>
      <c r="G467" t="s">
        <v>48</v>
      </c>
      <c r="H467">
        <v>1</v>
      </c>
      <c r="I467">
        <v>5200</v>
      </c>
      <c r="J467" t="s">
        <v>18</v>
      </c>
      <c r="K467" t="s">
        <v>19</v>
      </c>
      <c r="L467" s="5">
        <f t="shared" si="7"/>
        <v>5200</v>
      </c>
    </row>
    <row r="468" spans="1:12" x14ac:dyDescent="0.3">
      <c r="A468" t="s">
        <v>827</v>
      </c>
      <c r="B468" t="s">
        <v>343</v>
      </c>
      <c r="C468" s="2">
        <v>45982</v>
      </c>
      <c r="D468" t="s">
        <v>33</v>
      </c>
      <c r="E468" t="s">
        <v>38</v>
      </c>
      <c r="F468" t="s">
        <v>39</v>
      </c>
      <c r="G468" t="s">
        <v>44</v>
      </c>
      <c r="H468">
        <v>1</v>
      </c>
      <c r="I468">
        <v>2050</v>
      </c>
      <c r="J468" t="s">
        <v>18</v>
      </c>
      <c r="K468" t="s">
        <v>19</v>
      </c>
      <c r="L468" s="5">
        <f t="shared" si="7"/>
        <v>2050</v>
      </c>
    </row>
    <row r="469" spans="1:12" x14ac:dyDescent="0.3">
      <c r="A469" t="s">
        <v>828</v>
      </c>
      <c r="B469" t="s">
        <v>752</v>
      </c>
      <c r="C469" s="2">
        <v>45837</v>
      </c>
      <c r="D469" t="s">
        <v>33</v>
      </c>
      <c r="E469" t="s">
        <v>80</v>
      </c>
      <c r="F469" t="s">
        <v>23</v>
      </c>
      <c r="G469" t="s">
        <v>140</v>
      </c>
      <c r="H469">
        <v>1</v>
      </c>
      <c r="I469">
        <v>41000</v>
      </c>
      <c r="J469" t="s">
        <v>18</v>
      </c>
      <c r="K469" t="s">
        <v>19</v>
      </c>
      <c r="L469" s="5">
        <f t="shared" si="7"/>
        <v>41000</v>
      </c>
    </row>
    <row r="470" spans="1:12" x14ac:dyDescent="0.3">
      <c r="A470" t="s">
        <v>829</v>
      </c>
      <c r="B470" t="s">
        <v>573</v>
      </c>
      <c r="C470" s="2">
        <v>45822</v>
      </c>
      <c r="D470" t="s">
        <v>64</v>
      </c>
      <c r="E470" t="s">
        <v>93</v>
      </c>
      <c r="F470" t="s">
        <v>16</v>
      </c>
      <c r="G470" t="s">
        <v>17</v>
      </c>
      <c r="H470">
        <v>2</v>
      </c>
      <c r="I470">
        <v>3700</v>
      </c>
      <c r="J470" t="s">
        <v>18</v>
      </c>
      <c r="K470" t="s">
        <v>19</v>
      </c>
      <c r="L470" s="5">
        <f t="shared" si="7"/>
        <v>7400</v>
      </c>
    </row>
    <row r="471" spans="1:12" x14ac:dyDescent="0.3">
      <c r="A471" t="s">
        <v>830</v>
      </c>
      <c r="B471" t="s">
        <v>254</v>
      </c>
      <c r="C471" s="2">
        <v>46013</v>
      </c>
      <c r="D471" t="s">
        <v>33</v>
      </c>
      <c r="E471" t="s">
        <v>80</v>
      </c>
      <c r="F471" t="s">
        <v>59</v>
      </c>
      <c r="G471" t="s">
        <v>228</v>
      </c>
      <c r="H471">
        <v>1</v>
      </c>
      <c r="I471">
        <v>1500</v>
      </c>
      <c r="J471" t="s">
        <v>41</v>
      </c>
      <c r="K471" t="s">
        <v>19</v>
      </c>
      <c r="L471" s="5">
        <f t="shared" si="7"/>
        <v>1500</v>
      </c>
    </row>
    <row r="472" spans="1:12" x14ac:dyDescent="0.3">
      <c r="A472" t="s">
        <v>831</v>
      </c>
      <c r="B472" t="s">
        <v>679</v>
      </c>
      <c r="C472" s="2">
        <v>45986</v>
      </c>
      <c r="D472" t="s">
        <v>64</v>
      </c>
      <c r="E472" t="s">
        <v>99</v>
      </c>
      <c r="F472" t="s">
        <v>29</v>
      </c>
      <c r="G472" t="s">
        <v>96</v>
      </c>
      <c r="H472">
        <v>5</v>
      </c>
      <c r="I472">
        <v>2250</v>
      </c>
      <c r="J472" t="s">
        <v>18</v>
      </c>
      <c r="K472" t="s">
        <v>19</v>
      </c>
      <c r="L472" s="5">
        <f t="shared" si="7"/>
        <v>11250</v>
      </c>
    </row>
    <row r="473" spans="1:12" x14ac:dyDescent="0.3">
      <c r="A473" t="s">
        <v>832</v>
      </c>
      <c r="B473" t="s">
        <v>833</v>
      </c>
      <c r="C473" s="2">
        <v>45662</v>
      </c>
      <c r="D473" t="s">
        <v>64</v>
      </c>
      <c r="E473" t="s">
        <v>65</v>
      </c>
      <c r="F473" t="s">
        <v>23</v>
      </c>
      <c r="G473" t="s">
        <v>24</v>
      </c>
      <c r="H473">
        <v>3</v>
      </c>
      <c r="I473">
        <v>43950</v>
      </c>
      <c r="J473" t="s">
        <v>35</v>
      </c>
      <c r="K473" t="s">
        <v>127</v>
      </c>
      <c r="L473" s="5">
        <f t="shared" si="7"/>
        <v>131850</v>
      </c>
    </row>
    <row r="474" spans="1:12" x14ac:dyDescent="0.3">
      <c r="A474" t="s">
        <v>834</v>
      </c>
      <c r="B474" t="s">
        <v>767</v>
      </c>
      <c r="C474" s="2">
        <v>45792</v>
      </c>
      <c r="D474" t="s">
        <v>14</v>
      </c>
      <c r="E474" t="s">
        <v>22</v>
      </c>
      <c r="F474" t="s">
        <v>23</v>
      </c>
      <c r="G474" t="s">
        <v>24</v>
      </c>
      <c r="H474">
        <v>5</v>
      </c>
      <c r="I474">
        <v>2950</v>
      </c>
      <c r="J474" t="s">
        <v>18</v>
      </c>
      <c r="K474" t="s">
        <v>19</v>
      </c>
      <c r="L474" s="5">
        <f t="shared" si="7"/>
        <v>14750</v>
      </c>
    </row>
    <row r="475" spans="1:12" x14ac:dyDescent="0.3">
      <c r="A475" t="s">
        <v>835</v>
      </c>
      <c r="B475" t="s">
        <v>272</v>
      </c>
      <c r="C475" s="2">
        <v>45979</v>
      </c>
      <c r="D475" t="s">
        <v>64</v>
      </c>
      <c r="E475" t="s">
        <v>65</v>
      </c>
      <c r="F475" t="s">
        <v>23</v>
      </c>
      <c r="G475" t="s">
        <v>193</v>
      </c>
      <c r="H475">
        <v>2</v>
      </c>
      <c r="I475">
        <v>49700</v>
      </c>
      <c r="J475" t="s">
        <v>35</v>
      </c>
      <c r="K475" t="s">
        <v>25</v>
      </c>
      <c r="L475" s="5">
        <f t="shared" si="7"/>
        <v>99400</v>
      </c>
    </row>
    <row r="476" spans="1:12" x14ac:dyDescent="0.3">
      <c r="A476" t="s">
        <v>836</v>
      </c>
      <c r="B476" t="s">
        <v>589</v>
      </c>
      <c r="C476" s="2">
        <v>45764</v>
      </c>
      <c r="D476" t="s">
        <v>33</v>
      </c>
      <c r="E476" t="s">
        <v>34</v>
      </c>
      <c r="F476" t="s">
        <v>16</v>
      </c>
      <c r="G476" t="s">
        <v>48</v>
      </c>
      <c r="H476">
        <v>2</v>
      </c>
      <c r="I476">
        <v>6050</v>
      </c>
      <c r="J476" t="s">
        <v>35</v>
      </c>
      <c r="K476" t="s">
        <v>19</v>
      </c>
      <c r="L476" s="5">
        <f t="shared" si="7"/>
        <v>12100</v>
      </c>
    </row>
    <row r="477" spans="1:12" x14ac:dyDescent="0.3">
      <c r="A477" t="s">
        <v>837</v>
      </c>
      <c r="B477" t="s">
        <v>838</v>
      </c>
      <c r="C477" s="2">
        <v>45978</v>
      </c>
      <c r="D477" t="s">
        <v>33</v>
      </c>
      <c r="E477" t="s">
        <v>34</v>
      </c>
      <c r="F477" t="s">
        <v>23</v>
      </c>
      <c r="G477" t="s">
        <v>24</v>
      </c>
      <c r="H477">
        <v>2</v>
      </c>
      <c r="I477">
        <v>39500</v>
      </c>
      <c r="J477" t="s">
        <v>18</v>
      </c>
      <c r="K477" t="s">
        <v>19</v>
      </c>
      <c r="L477" s="5">
        <f t="shared" si="7"/>
        <v>79000</v>
      </c>
    </row>
    <row r="478" spans="1:12" x14ac:dyDescent="0.3">
      <c r="A478" t="s">
        <v>839</v>
      </c>
      <c r="B478" t="s">
        <v>562</v>
      </c>
      <c r="C478" s="2">
        <v>45828</v>
      </c>
      <c r="D478" t="s">
        <v>64</v>
      </c>
      <c r="E478" t="s">
        <v>86</v>
      </c>
      <c r="F478" t="s">
        <v>29</v>
      </c>
      <c r="G478" t="s">
        <v>184</v>
      </c>
      <c r="H478">
        <v>2</v>
      </c>
      <c r="I478">
        <v>5000</v>
      </c>
      <c r="J478" t="s">
        <v>18</v>
      </c>
      <c r="K478" t="s">
        <v>19</v>
      </c>
      <c r="L478" s="5">
        <f t="shared" si="7"/>
        <v>10000</v>
      </c>
    </row>
    <row r="479" spans="1:12" x14ac:dyDescent="0.3">
      <c r="A479" t="s">
        <v>840</v>
      </c>
      <c r="B479" t="s">
        <v>742</v>
      </c>
      <c r="C479" s="2">
        <v>45687</v>
      </c>
      <c r="D479" t="s">
        <v>14</v>
      </c>
      <c r="E479" t="s">
        <v>22</v>
      </c>
      <c r="F479" t="s">
        <v>39</v>
      </c>
      <c r="G479" t="s">
        <v>87</v>
      </c>
      <c r="H479">
        <v>4</v>
      </c>
      <c r="I479">
        <v>8950</v>
      </c>
      <c r="J479" t="s">
        <v>35</v>
      </c>
      <c r="K479" t="s">
        <v>19</v>
      </c>
      <c r="L479" s="5">
        <f t="shared" si="7"/>
        <v>35800</v>
      </c>
    </row>
    <row r="480" spans="1:12" x14ac:dyDescent="0.3">
      <c r="A480" t="s">
        <v>841</v>
      </c>
      <c r="B480" t="s">
        <v>297</v>
      </c>
      <c r="C480" s="2">
        <v>45699</v>
      </c>
      <c r="D480" t="s">
        <v>64</v>
      </c>
      <c r="E480" t="s">
        <v>99</v>
      </c>
      <c r="F480" t="s">
        <v>16</v>
      </c>
      <c r="G480" t="s">
        <v>134</v>
      </c>
      <c r="H480">
        <v>4</v>
      </c>
      <c r="I480">
        <v>4300</v>
      </c>
      <c r="J480" t="s">
        <v>18</v>
      </c>
      <c r="K480" t="s">
        <v>19</v>
      </c>
      <c r="L480" s="5">
        <f t="shared" si="7"/>
        <v>17200</v>
      </c>
    </row>
    <row r="481" spans="1:12" x14ac:dyDescent="0.3">
      <c r="A481" t="s">
        <v>842</v>
      </c>
      <c r="B481" t="s">
        <v>133</v>
      </c>
      <c r="C481" s="2">
        <v>45979</v>
      </c>
      <c r="D481" t="s">
        <v>64</v>
      </c>
      <c r="E481" t="s">
        <v>65</v>
      </c>
      <c r="F481" t="s">
        <v>23</v>
      </c>
      <c r="G481" t="s">
        <v>137</v>
      </c>
      <c r="H481">
        <v>1</v>
      </c>
      <c r="I481">
        <v>45800</v>
      </c>
      <c r="J481" t="s">
        <v>115</v>
      </c>
      <c r="K481" t="s">
        <v>19</v>
      </c>
      <c r="L481" s="5">
        <f t="shared" si="7"/>
        <v>45800</v>
      </c>
    </row>
    <row r="482" spans="1:12" x14ac:dyDescent="0.3">
      <c r="A482" t="s">
        <v>843</v>
      </c>
      <c r="B482" t="s">
        <v>844</v>
      </c>
      <c r="C482" s="2">
        <v>45978</v>
      </c>
      <c r="D482" t="s">
        <v>33</v>
      </c>
      <c r="E482" t="s">
        <v>80</v>
      </c>
      <c r="F482" t="s">
        <v>16</v>
      </c>
      <c r="G482" t="s">
        <v>143</v>
      </c>
      <c r="H482">
        <v>3</v>
      </c>
      <c r="I482">
        <v>5700</v>
      </c>
      <c r="J482" t="s">
        <v>61</v>
      </c>
      <c r="K482" t="s">
        <v>19</v>
      </c>
      <c r="L482" s="5">
        <f t="shared" si="7"/>
        <v>17100</v>
      </c>
    </row>
    <row r="483" spans="1:12" x14ac:dyDescent="0.3">
      <c r="A483" t="s">
        <v>845</v>
      </c>
      <c r="B483" t="s">
        <v>83</v>
      </c>
      <c r="C483" s="2">
        <v>45813</v>
      </c>
      <c r="D483" t="s">
        <v>14</v>
      </c>
      <c r="E483" t="s">
        <v>28</v>
      </c>
      <c r="F483" t="s">
        <v>29</v>
      </c>
      <c r="G483" t="s">
        <v>30</v>
      </c>
      <c r="H483">
        <v>3</v>
      </c>
      <c r="I483">
        <v>5200</v>
      </c>
      <c r="J483" t="s">
        <v>41</v>
      </c>
      <c r="K483" t="s">
        <v>127</v>
      </c>
      <c r="L483" s="5">
        <f t="shared" si="7"/>
        <v>15600</v>
      </c>
    </row>
    <row r="484" spans="1:12" x14ac:dyDescent="0.3">
      <c r="A484" t="s">
        <v>846</v>
      </c>
      <c r="B484" t="s">
        <v>219</v>
      </c>
      <c r="C484" s="2">
        <v>45693</v>
      </c>
      <c r="D484" t="s">
        <v>14</v>
      </c>
      <c r="E484" t="s">
        <v>22</v>
      </c>
      <c r="F484" t="s">
        <v>23</v>
      </c>
      <c r="G484" t="s">
        <v>137</v>
      </c>
      <c r="H484">
        <v>1</v>
      </c>
      <c r="I484">
        <v>54700</v>
      </c>
      <c r="J484" t="s">
        <v>61</v>
      </c>
      <c r="K484" t="s">
        <v>127</v>
      </c>
      <c r="L484" s="5">
        <f t="shared" si="7"/>
        <v>54700</v>
      </c>
    </row>
    <row r="485" spans="1:12" x14ac:dyDescent="0.3">
      <c r="A485" t="s">
        <v>847</v>
      </c>
      <c r="B485" t="s">
        <v>435</v>
      </c>
      <c r="C485" s="2">
        <v>46022</v>
      </c>
      <c r="D485" t="s">
        <v>46</v>
      </c>
      <c r="E485" t="s">
        <v>75</v>
      </c>
      <c r="F485" t="s">
        <v>39</v>
      </c>
      <c r="G485" t="s">
        <v>52</v>
      </c>
      <c r="H485">
        <v>3</v>
      </c>
      <c r="I485">
        <v>3400</v>
      </c>
      <c r="J485" t="s">
        <v>35</v>
      </c>
      <c r="K485" t="s">
        <v>19</v>
      </c>
      <c r="L485" s="5">
        <f t="shared" si="7"/>
        <v>10200</v>
      </c>
    </row>
    <row r="486" spans="1:12" x14ac:dyDescent="0.3">
      <c r="A486" t="s">
        <v>848</v>
      </c>
      <c r="B486" t="s">
        <v>472</v>
      </c>
      <c r="C486" s="2">
        <v>45994</v>
      </c>
      <c r="D486" t="s">
        <v>46</v>
      </c>
      <c r="E486" t="s">
        <v>75</v>
      </c>
      <c r="F486" t="s">
        <v>23</v>
      </c>
      <c r="G486" t="s">
        <v>24</v>
      </c>
      <c r="H486">
        <v>2</v>
      </c>
      <c r="I486">
        <v>41450</v>
      </c>
      <c r="J486" t="s">
        <v>18</v>
      </c>
      <c r="K486" t="s">
        <v>19</v>
      </c>
      <c r="L486" s="5">
        <f t="shared" si="7"/>
        <v>82900</v>
      </c>
    </row>
    <row r="487" spans="1:12" x14ac:dyDescent="0.3">
      <c r="A487" t="s">
        <v>849</v>
      </c>
      <c r="B487" t="s">
        <v>314</v>
      </c>
      <c r="C487" s="2">
        <v>45766</v>
      </c>
      <c r="D487" t="s">
        <v>14</v>
      </c>
      <c r="E487" t="s">
        <v>15</v>
      </c>
      <c r="F487" t="s">
        <v>29</v>
      </c>
      <c r="G487" t="s">
        <v>184</v>
      </c>
      <c r="H487">
        <v>4</v>
      </c>
      <c r="I487">
        <v>6600</v>
      </c>
      <c r="J487" t="s">
        <v>41</v>
      </c>
      <c r="K487" t="s">
        <v>19</v>
      </c>
      <c r="L487" s="5">
        <f t="shared" si="7"/>
        <v>26400</v>
      </c>
    </row>
    <row r="488" spans="1:12" x14ac:dyDescent="0.3">
      <c r="A488" t="s">
        <v>850</v>
      </c>
      <c r="B488" t="s">
        <v>254</v>
      </c>
      <c r="C488" s="2">
        <v>45847</v>
      </c>
      <c r="D488" t="s">
        <v>14</v>
      </c>
      <c r="E488" t="s">
        <v>28</v>
      </c>
      <c r="F488" t="s">
        <v>39</v>
      </c>
      <c r="G488" t="s">
        <v>87</v>
      </c>
      <c r="H488">
        <v>2</v>
      </c>
      <c r="I488">
        <v>500</v>
      </c>
      <c r="J488" t="s">
        <v>18</v>
      </c>
      <c r="K488" t="s">
        <v>19</v>
      </c>
      <c r="L488" s="5">
        <f t="shared" si="7"/>
        <v>1000</v>
      </c>
    </row>
    <row r="489" spans="1:12" x14ac:dyDescent="0.3">
      <c r="A489" t="s">
        <v>851</v>
      </c>
      <c r="B489" t="s">
        <v>852</v>
      </c>
      <c r="C489" s="2">
        <v>45982</v>
      </c>
      <c r="D489" t="s">
        <v>46</v>
      </c>
      <c r="E489" t="s">
        <v>72</v>
      </c>
      <c r="F489" t="s">
        <v>29</v>
      </c>
      <c r="G489" t="s">
        <v>184</v>
      </c>
      <c r="H489">
        <v>2</v>
      </c>
      <c r="I489">
        <v>7250</v>
      </c>
      <c r="J489" t="s">
        <v>61</v>
      </c>
      <c r="K489" t="s">
        <v>19</v>
      </c>
      <c r="L489" s="5">
        <f t="shared" si="7"/>
        <v>14500</v>
      </c>
    </row>
    <row r="490" spans="1:12" x14ac:dyDescent="0.3">
      <c r="A490" t="s">
        <v>853</v>
      </c>
      <c r="B490" t="s">
        <v>854</v>
      </c>
      <c r="C490" s="2">
        <v>45711</v>
      </c>
      <c r="D490" t="s">
        <v>33</v>
      </c>
      <c r="E490" t="s">
        <v>80</v>
      </c>
      <c r="F490" t="s">
        <v>16</v>
      </c>
      <c r="G490" t="s">
        <v>143</v>
      </c>
      <c r="H490">
        <v>1</v>
      </c>
      <c r="I490">
        <v>3000</v>
      </c>
      <c r="J490" t="s">
        <v>18</v>
      </c>
      <c r="K490" t="s">
        <v>25</v>
      </c>
      <c r="L490" s="5">
        <f t="shared" si="7"/>
        <v>3000</v>
      </c>
    </row>
    <row r="491" spans="1:12" x14ac:dyDescent="0.3">
      <c r="A491" t="s">
        <v>855</v>
      </c>
      <c r="B491" t="s">
        <v>856</v>
      </c>
      <c r="C491" s="2">
        <v>45997</v>
      </c>
      <c r="D491" t="s">
        <v>46</v>
      </c>
      <c r="E491" t="s">
        <v>72</v>
      </c>
      <c r="F491" t="s">
        <v>39</v>
      </c>
      <c r="G491" t="s">
        <v>87</v>
      </c>
      <c r="H491">
        <v>1</v>
      </c>
      <c r="I491">
        <v>8200</v>
      </c>
      <c r="J491" t="s">
        <v>18</v>
      </c>
      <c r="K491" t="s">
        <v>19</v>
      </c>
      <c r="L491" s="5">
        <f t="shared" si="7"/>
        <v>8200</v>
      </c>
    </row>
    <row r="492" spans="1:12" x14ac:dyDescent="0.3">
      <c r="A492" t="s">
        <v>857</v>
      </c>
      <c r="B492" t="s">
        <v>645</v>
      </c>
      <c r="C492" s="2">
        <v>45933</v>
      </c>
      <c r="D492" t="s">
        <v>64</v>
      </c>
      <c r="E492" t="s">
        <v>99</v>
      </c>
      <c r="F492" t="s">
        <v>29</v>
      </c>
      <c r="G492" t="s">
        <v>184</v>
      </c>
      <c r="H492">
        <v>1</v>
      </c>
      <c r="I492">
        <v>5200</v>
      </c>
      <c r="J492" t="s">
        <v>41</v>
      </c>
      <c r="K492" t="s">
        <v>19</v>
      </c>
      <c r="L492" s="5">
        <f t="shared" si="7"/>
        <v>5200</v>
      </c>
    </row>
    <row r="493" spans="1:12" x14ac:dyDescent="0.3">
      <c r="A493" t="s">
        <v>858</v>
      </c>
      <c r="B493" t="s">
        <v>859</v>
      </c>
      <c r="C493" s="2">
        <v>45709</v>
      </c>
      <c r="D493" t="s">
        <v>33</v>
      </c>
      <c r="E493" t="s">
        <v>68</v>
      </c>
      <c r="F493" t="s">
        <v>59</v>
      </c>
      <c r="G493" t="s">
        <v>228</v>
      </c>
      <c r="H493">
        <v>2</v>
      </c>
      <c r="I493">
        <v>3700</v>
      </c>
      <c r="J493" t="s">
        <v>18</v>
      </c>
      <c r="K493" t="s">
        <v>19</v>
      </c>
      <c r="L493" s="5">
        <f t="shared" si="7"/>
        <v>7400</v>
      </c>
    </row>
    <row r="494" spans="1:12" x14ac:dyDescent="0.3">
      <c r="A494" t="s">
        <v>860</v>
      </c>
      <c r="B494" t="s">
        <v>861</v>
      </c>
      <c r="C494" s="2">
        <v>45956</v>
      </c>
      <c r="D494" t="s">
        <v>46</v>
      </c>
      <c r="E494" t="s">
        <v>72</v>
      </c>
      <c r="F494" t="s">
        <v>16</v>
      </c>
      <c r="G494" t="s">
        <v>17</v>
      </c>
      <c r="H494">
        <v>2</v>
      </c>
      <c r="I494">
        <v>2250</v>
      </c>
      <c r="J494" t="s">
        <v>41</v>
      </c>
      <c r="K494" t="s">
        <v>19</v>
      </c>
      <c r="L494" s="5">
        <f t="shared" si="7"/>
        <v>4500</v>
      </c>
    </row>
    <row r="495" spans="1:12" x14ac:dyDescent="0.3">
      <c r="A495" t="s">
        <v>862</v>
      </c>
      <c r="B495" t="s">
        <v>317</v>
      </c>
      <c r="C495" s="2">
        <v>45811</v>
      </c>
      <c r="D495" t="s">
        <v>14</v>
      </c>
      <c r="E495" t="s">
        <v>28</v>
      </c>
      <c r="F495" t="s">
        <v>23</v>
      </c>
      <c r="G495" t="s">
        <v>56</v>
      </c>
      <c r="H495">
        <v>5</v>
      </c>
      <c r="I495">
        <v>54200</v>
      </c>
      <c r="J495" t="s">
        <v>41</v>
      </c>
      <c r="K495" t="s">
        <v>19</v>
      </c>
      <c r="L495" s="5">
        <f t="shared" si="7"/>
        <v>271000</v>
      </c>
    </row>
    <row r="496" spans="1:12" x14ac:dyDescent="0.3">
      <c r="A496" t="s">
        <v>863</v>
      </c>
      <c r="B496" t="s">
        <v>179</v>
      </c>
      <c r="C496" s="2">
        <v>45722</v>
      </c>
      <c r="D496" t="s">
        <v>14</v>
      </c>
      <c r="E496" t="s">
        <v>28</v>
      </c>
      <c r="F496" t="s">
        <v>16</v>
      </c>
      <c r="G496" t="s">
        <v>81</v>
      </c>
      <c r="H496">
        <v>1</v>
      </c>
      <c r="I496">
        <v>2650</v>
      </c>
      <c r="J496" t="s">
        <v>41</v>
      </c>
      <c r="K496" t="s">
        <v>19</v>
      </c>
      <c r="L496" s="5">
        <f t="shared" si="7"/>
        <v>2650</v>
      </c>
    </row>
    <row r="497" spans="1:12" x14ac:dyDescent="0.3">
      <c r="A497" t="s">
        <v>864</v>
      </c>
      <c r="B497" t="s">
        <v>260</v>
      </c>
      <c r="C497" s="2">
        <v>46015</v>
      </c>
      <c r="D497" t="s">
        <v>14</v>
      </c>
      <c r="E497" t="s">
        <v>28</v>
      </c>
      <c r="F497" t="s">
        <v>39</v>
      </c>
      <c r="G497" t="s">
        <v>87</v>
      </c>
      <c r="H497">
        <v>2</v>
      </c>
      <c r="I497">
        <v>3950</v>
      </c>
      <c r="J497" t="s">
        <v>41</v>
      </c>
      <c r="K497" t="s">
        <v>19</v>
      </c>
      <c r="L497" s="5">
        <f t="shared" si="7"/>
        <v>7900</v>
      </c>
    </row>
    <row r="498" spans="1:12" x14ac:dyDescent="0.3">
      <c r="A498" t="s">
        <v>865</v>
      </c>
      <c r="B498" t="s">
        <v>671</v>
      </c>
      <c r="C498" s="2">
        <v>45711</v>
      </c>
      <c r="D498" t="s">
        <v>46</v>
      </c>
      <c r="E498" t="s">
        <v>75</v>
      </c>
      <c r="F498" t="s">
        <v>29</v>
      </c>
      <c r="G498" t="s">
        <v>96</v>
      </c>
      <c r="H498">
        <v>1</v>
      </c>
      <c r="I498">
        <v>550</v>
      </c>
      <c r="J498" t="s">
        <v>18</v>
      </c>
      <c r="K498" t="s">
        <v>19</v>
      </c>
      <c r="L498" s="5">
        <f t="shared" si="7"/>
        <v>550</v>
      </c>
    </row>
    <row r="499" spans="1:12" x14ac:dyDescent="0.3">
      <c r="A499" t="s">
        <v>866</v>
      </c>
      <c r="B499" t="s">
        <v>264</v>
      </c>
      <c r="C499" s="2">
        <v>45936</v>
      </c>
      <c r="D499" t="s">
        <v>33</v>
      </c>
      <c r="E499" t="s">
        <v>80</v>
      </c>
      <c r="F499" t="s">
        <v>16</v>
      </c>
      <c r="G499" t="s">
        <v>134</v>
      </c>
      <c r="H499">
        <v>1</v>
      </c>
      <c r="I499">
        <v>6150</v>
      </c>
      <c r="J499" t="s">
        <v>41</v>
      </c>
      <c r="K499" t="s">
        <v>19</v>
      </c>
      <c r="L499" s="5">
        <f t="shared" si="7"/>
        <v>6150</v>
      </c>
    </row>
    <row r="500" spans="1:12" x14ac:dyDescent="0.3">
      <c r="A500" t="s">
        <v>867</v>
      </c>
      <c r="B500" t="s">
        <v>234</v>
      </c>
      <c r="C500" s="2">
        <v>45943</v>
      </c>
      <c r="D500" t="s">
        <v>46</v>
      </c>
      <c r="E500" t="s">
        <v>47</v>
      </c>
      <c r="F500" t="s">
        <v>16</v>
      </c>
      <c r="G500" t="s">
        <v>81</v>
      </c>
      <c r="H500">
        <v>1</v>
      </c>
      <c r="I500">
        <v>7400</v>
      </c>
      <c r="J500" t="s">
        <v>18</v>
      </c>
      <c r="K500" t="s">
        <v>19</v>
      </c>
      <c r="L500" s="5">
        <f t="shared" si="7"/>
        <v>7400</v>
      </c>
    </row>
    <row r="501" spans="1:12" x14ac:dyDescent="0.3">
      <c r="A501" t="s">
        <v>868</v>
      </c>
      <c r="B501" t="s">
        <v>869</v>
      </c>
      <c r="C501" s="2">
        <v>45763</v>
      </c>
      <c r="D501" t="s">
        <v>33</v>
      </c>
      <c r="E501" t="s">
        <v>38</v>
      </c>
      <c r="F501" t="s">
        <v>16</v>
      </c>
      <c r="G501" t="s">
        <v>81</v>
      </c>
      <c r="H501">
        <v>3</v>
      </c>
      <c r="I501">
        <v>8500</v>
      </c>
      <c r="J501" t="s">
        <v>41</v>
      </c>
      <c r="K501" t="s">
        <v>25</v>
      </c>
      <c r="L501" s="5">
        <f t="shared" si="7"/>
        <v>25500</v>
      </c>
    </row>
    <row r="502" spans="1:12" x14ac:dyDescent="0.3">
      <c r="A502" t="s">
        <v>870</v>
      </c>
      <c r="B502" t="s">
        <v>150</v>
      </c>
      <c r="C502" s="2">
        <v>45867</v>
      </c>
      <c r="D502" t="s">
        <v>33</v>
      </c>
      <c r="E502" t="s">
        <v>34</v>
      </c>
      <c r="F502" t="s">
        <v>29</v>
      </c>
      <c r="G502" t="s">
        <v>184</v>
      </c>
      <c r="H502">
        <v>1</v>
      </c>
      <c r="I502">
        <v>3400</v>
      </c>
      <c r="J502" t="s">
        <v>41</v>
      </c>
      <c r="K502" t="s">
        <v>19</v>
      </c>
      <c r="L502" s="5">
        <f t="shared" si="7"/>
        <v>3400</v>
      </c>
    </row>
    <row r="503" spans="1:12" x14ac:dyDescent="0.3">
      <c r="A503" t="s">
        <v>871</v>
      </c>
      <c r="B503" t="s">
        <v>872</v>
      </c>
      <c r="C503" s="2">
        <v>45845</v>
      </c>
      <c r="D503" t="s">
        <v>33</v>
      </c>
      <c r="E503" t="s">
        <v>68</v>
      </c>
      <c r="F503" t="s">
        <v>23</v>
      </c>
      <c r="G503" t="s">
        <v>193</v>
      </c>
      <c r="H503">
        <v>1</v>
      </c>
      <c r="I503">
        <v>34450</v>
      </c>
      <c r="J503" t="s">
        <v>61</v>
      </c>
      <c r="K503" t="s">
        <v>19</v>
      </c>
      <c r="L503" s="5">
        <f t="shared" si="7"/>
        <v>34450</v>
      </c>
    </row>
    <row r="504" spans="1:12" x14ac:dyDescent="0.3">
      <c r="A504" t="s">
        <v>873</v>
      </c>
      <c r="B504" t="s">
        <v>293</v>
      </c>
      <c r="C504" s="2">
        <v>45665</v>
      </c>
      <c r="D504" t="s">
        <v>64</v>
      </c>
      <c r="E504" t="s">
        <v>86</v>
      </c>
      <c r="F504" t="s">
        <v>23</v>
      </c>
      <c r="G504" t="s">
        <v>56</v>
      </c>
      <c r="H504">
        <v>2</v>
      </c>
      <c r="I504">
        <v>4450</v>
      </c>
      <c r="J504" t="s">
        <v>41</v>
      </c>
      <c r="K504" t="s">
        <v>69</v>
      </c>
      <c r="L504" s="5">
        <f t="shared" si="7"/>
        <v>8900</v>
      </c>
    </row>
    <row r="505" spans="1:12" x14ac:dyDescent="0.3">
      <c r="A505" t="s">
        <v>874</v>
      </c>
      <c r="B505" t="s">
        <v>856</v>
      </c>
      <c r="C505" s="2">
        <v>45673</v>
      </c>
      <c r="D505" t="s">
        <v>14</v>
      </c>
      <c r="E505" t="s">
        <v>15</v>
      </c>
      <c r="F505" t="s">
        <v>16</v>
      </c>
      <c r="G505" t="s">
        <v>81</v>
      </c>
      <c r="H505">
        <v>2</v>
      </c>
      <c r="I505">
        <v>950</v>
      </c>
      <c r="J505" t="s">
        <v>61</v>
      </c>
      <c r="K505" t="s">
        <v>19</v>
      </c>
      <c r="L505" s="5">
        <f t="shared" si="7"/>
        <v>1900</v>
      </c>
    </row>
    <row r="506" spans="1:12" x14ac:dyDescent="0.3">
      <c r="A506" t="s">
        <v>875</v>
      </c>
      <c r="B506" t="s">
        <v>876</v>
      </c>
      <c r="C506" s="2">
        <v>45687</v>
      </c>
      <c r="D506" t="s">
        <v>33</v>
      </c>
      <c r="E506" t="s">
        <v>34</v>
      </c>
      <c r="F506" t="s">
        <v>29</v>
      </c>
      <c r="G506" t="s">
        <v>96</v>
      </c>
      <c r="H506">
        <v>2</v>
      </c>
      <c r="I506">
        <v>5050</v>
      </c>
      <c r="J506" t="s">
        <v>18</v>
      </c>
      <c r="K506" t="s">
        <v>19</v>
      </c>
      <c r="L506" s="5">
        <f t="shared" si="7"/>
        <v>10100</v>
      </c>
    </row>
    <row r="507" spans="1:12" x14ac:dyDescent="0.3">
      <c r="A507" t="s">
        <v>877</v>
      </c>
      <c r="B507" t="s">
        <v>878</v>
      </c>
      <c r="C507" s="2">
        <v>46003</v>
      </c>
      <c r="D507" t="s">
        <v>64</v>
      </c>
      <c r="E507" t="s">
        <v>65</v>
      </c>
      <c r="F507" t="s">
        <v>23</v>
      </c>
      <c r="G507" t="s">
        <v>24</v>
      </c>
      <c r="H507">
        <v>3</v>
      </c>
      <c r="I507">
        <v>54000</v>
      </c>
      <c r="J507" t="s">
        <v>18</v>
      </c>
      <c r="K507" t="s">
        <v>69</v>
      </c>
      <c r="L507" s="5">
        <f t="shared" si="7"/>
        <v>162000</v>
      </c>
    </row>
    <row r="508" spans="1:12" x14ac:dyDescent="0.3">
      <c r="A508" t="s">
        <v>879</v>
      </c>
      <c r="B508" t="s">
        <v>880</v>
      </c>
      <c r="C508" s="2">
        <v>45687</v>
      </c>
      <c r="D508" t="s">
        <v>33</v>
      </c>
      <c r="E508" t="s">
        <v>34</v>
      </c>
      <c r="F508" t="s">
        <v>39</v>
      </c>
      <c r="G508" t="s">
        <v>52</v>
      </c>
      <c r="H508">
        <v>1</v>
      </c>
      <c r="I508">
        <v>900</v>
      </c>
      <c r="J508" t="s">
        <v>41</v>
      </c>
      <c r="K508" t="s">
        <v>19</v>
      </c>
      <c r="L508" s="5">
        <f t="shared" si="7"/>
        <v>900</v>
      </c>
    </row>
    <row r="509" spans="1:12" x14ac:dyDescent="0.3">
      <c r="A509" t="s">
        <v>881</v>
      </c>
      <c r="B509" t="s">
        <v>639</v>
      </c>
      <c r="C509" s="2">
        <v>45686</v>
      </c>
      <c r="D509" t="s">
        <v>14</v>
      </c>
      <c r="E509" t="s">
        <v>15</v>
      </c>
      <c r="F509" t="s">
        <v>29</v>
      </c>
      <c r="G509" t="s">
        <v>100</v>
      </c>
      <c r="H509">
        <v>1</v>
      </c>
      <c r="I509">
        <v>7600</v>
      </c>
      <c r="J509" t="s">
        <v>115</v>
      </c>
      <c r="K509" t="s">
        <v>19</v>
      </c>
      <c r="L509" s="5">
        <f t="shared" si="7"/>
        <v>7600</v>
      </c>
    </row>
    <row r="510" spans="1:12" x14ac:dyDescent="0.3">
      <c r="A510" t="s">
        <v>882</v>
      </c>
      <c r="B510" t="s">
        <v>883</v>
      </c>
      <c r="C510" s="2">
        <v>45893</v>
      </c>
      <c r="D510" t="s">
        <v>33</v>
      </c>
      <c r="E510" t="s">
        <v>34</v>
      </c>
      <c r="F510" t="s">
        <v>16</v>
      </c>
      <c r="G510" t="s">
        <v>17</v>
      </c>
      <c r="H510">
        <v>1</v>
      </c>
      <c r="I510">
        <v>450</v>
      </c>
      <c r="J510" t="s">
        <v>18</v>
      </c>
      <c r="K510" t="s">
        <v>19</v>
      </c>
      <c r="L510" s="5">
        <f t="shared" si="7"/>
        <v>450</v>
      </c>
    </row>
    <row r="511" spans="1:12" x14ac:dyDescent="0.3">
      <c r="A511" t="s">
        <v>884</v>
      </c>
      <c r="B511" t="s">
        <v>885</v>
      </c>
      <c r="C511" s="2">
        <v>45750</v>
      </c>
      <c r="D511" t="s">
        <v>33</v>
      </c>
      <c r="E511" t="s">
        <v>68</v>
      </c>
      <c r="F511" t="s">
        <v>59</v>
      </c>
      <c r="G511" t="s">
        <v>322</v>
      </c>
      <c r="H511">
        <v>1</v>
      </c>
      <c r="I511">
        <v>1150</v>
      </c>
      <c r="J511" t="s">
        <v>18</v>
      </c>
      <c r="K511" t="s">
        <v>19</v>
      </c>
      <c r="L511" s="5">
        <f t="shared" si="7"/>
        <v>1150</v>
      </c>
    </row>
    <row r="512" spans="1:12" x14ac:dyDescent="0.3">
      <c r="A512" t="s">
        <v>886</v>
      </c>
      <c r="B512" t="s">
        <v>887</v>
      </c>
      <c r="C512" s="2">
        <v>45824</v>
      </c>
      <c r="D512" t="s">
        <v>46</v>
      </c>
      <c r="E512" t="s">
        <v>47</v>
      </c>
      <c r="F512" t="s">
        <v>23</v>
      </c>
      <c r="G512" t="s">
        <v>193</v>
      </c>
      <c r="H512">
        <v>1</v>
      </c>
      <c r="I512">
        <v>30650</v>
      </c>
      <c r="J512" t="s">
        <v>18</v>
      </c>
      <c r="K512" t="s">
        <v>19</v>
      </c>
      <c r="L512" s="5">
        <f t="shared" si="7"/>
        <v>30650</v>
      </c>
    </row>
    <row r="513" spans="1:12" x14ac:dyDescent="0.3">
      <c r="A513" t="s">
        <v>888</v>
      </c>
      <c r="B513" t="s">
        <v>217</v>
      </c>
      <c r="C513" s="2">
        <v>45710</v>
      </c>
      <c r="D513" t="s">
        <v>14</v>
      </c>
      <c r="E513" t="s">
        <v>51</v>
      </c>
      <c r="F513" t="s">
        <v>29</v>
      </c>
      <c r="G513" t="s">
        <v>30</v>
      </c>
      <c r="H513">
        <v>1</v>
      </c>
      <c r="I513">
        <v>4750</v>
      </c>
      <c r="J513" t="s">
        <v>18</v>
      </c>
      <c r="K513" t="s">
        <v>19</v>
      </c>
      <c r="L513" s="5">
        <f t="shared" si="7"/>
        <v>4750</v>
      </c>
    </row>
    <row r="514" spans="1:12" x14ac:dyDescent="0.3">
      <c r="A514" t="s">
        <v>889</v>
      </c>
      <c r="B514" t="s">
        <v>838</v>
      </c>
      <c r="C514" s="2">
        <v>45686</v>
      </c>
      <c r="D514" t="s">
        <v>33</v>
      </c>
      <c r="E514" t="s">
        <v>38</v>
      </c>
      <c r="F514" t="s">
        <v>29</v>
      </c>
      <c r="G514" t="s">
        <v>90</v>
      </c>
      <c r="H514">
        <v>1</v>
      </c>
      <c r="I514">
        <v>1000</v>
      </c>
      <c r="J514" t="s">
        <v>18</v>
      </c>
      <c r="K514" t="s">
        <v>19</v>
      </c>
      <c r="L514" s="5">
        <f t="shared" si="7"/>
        <v>1000</v>
      </c>
    </row>
    <row r="515" spans="1:12" x14ac:dyDescent="0.3">
      <c r="A515" t="s">
        <v>890</v>
      </c>
      <c r="B515" t="s">
        <v>337</v>
      </c>
      <c r="C515" s="2">
        <v>45836</v>
      </c>
      <c r="D515" t="s">
        <v>33</v>
      </c>
      <c r="E515" t="s">
        <v>80</v>
      </c>
      <c r="F515" t="s">
        <v>16</v>
      </c>
      <c r="G515" t="s">
        <v>134</v>
      </c>
      <c r="H515">
        <v>3</v>
      </c>
      <c r="I515">
        <v>8600</v>
      </c>
      <c r="J515" t="s">
        <v>18</v>
      </c>
      <c r="K515" t="s">
        <v>19</v>
      </c>
      <c r="L515" s="5">
        <f t="shared" ref="L515:L578" si="8">H515*I515</f>
        <v>25800</v>
      </c>
    </row>
    <row r="516" spans="1:12" x14ac:dyDescent="0.3">
      <c r="A516" t="s">
        <v>890</v>
      </c>
      <c r="B516" t="s">
        <v>71</v>
      </c>
      <c r="C516" s="2">
        <v>45672</v>
      </c>
      <c r="D516" t="s">
        <v>33</v>
      </c>
      <c r="E516" t="s">
        <v>34</v>
      </c>
      <c r="F516" t="s">
        <v>23</v>
      </c>
      <c r="G516" t="s">
        <v>137</v>
      </c>
      <c r="H516">
        <v>3</v>
      </c>
      <c r="I516">
        <v>37100</v>
      </c>
      <c r="J516" t="s">
        <v>41</v>
      </c>
      <c r="K516" t="s">
        <v>25</v>
      </c>
      <c r="L516" s="5">
        <f t="shared" si="8"/>
        <v>111300</v>
      </c>
    </row>
    <row r="517" spans="1:12" x14ac:dyDescent="0.3">
      <c r="A517" t="s">
        <v>891</v>
      </c>
      <c r="B517" t="s">
        <v>449</v>
      </c>
      <c r="C517" s="2">
        <v>45963</v>
      </c>
      <c r="D517" t="s">
        <v>14</v>
      </c>
      <c r="E517" t="s">
        <v>15</v>
      </c>
      <c r="F517" t="s">
        <v>59</v>
      </c>
      <c r="G517" t="s">
        <v>322</v>
      </c>
      <c r="H517">
        <v>1</v>
      </c>
      <c r="I517">
        <v>2700</v>
      </c>
      <c r="J517" t="s">
        <v>18</v>
      </c>
      <c r="K517" t="s">
        <v>19</v>
      </c>
      <c r="L517" s="5">
        <f t="shared" si="8"/>
        <v>2700</v>
      </c>
    </row>
    <row r="518" spans="1:12" x14ac:dyDescent="0.3">
      <c r="A518" t="s">
        <v>892</v>
      </c>
      <c r="B518" t="s">
        <v>737</v>
      </c>
      <c r="C518" s="2">
        <v>45682</v>
      </c>
      <c r="D518" t="s">
        <v>64</v>
      </c>
      <c r="E518" t="s">
        <v>86</v>
      </c>
      <c r="F518" t="s">
        <v>23</v>
      </c>
      <c r="G518" t="s">
        <v>56</v>
      </c>
      <c r="H518">
        <v>1</v>
      </c>
      <c r="I518">
        <v>34050</v>
      </c>
      <c r="J518" t="s">
        <v>18</v>
      </c>
      <c r="K518" t="s">
        <v>25</v>
      </c>
      <c r="L518" s="5">
        <f t="shared" si="8"/>
        <v>34050</v>
      </c>
    </row>
    <row r="519" spans="1:12" x14ac:dyDescent="0.3">
      <c r="A519" t="s">
        <v>893</v>
      </c>
      <c r="B519" t="s">
        <v>894</v>
      </c>
      <c r="C519" s="2">
        <v>45817</v>
      </c>
      <c r="D519" t="s">
        <v>14</v>
      </c>
      <c r="E519" t="s">
        <v>15</v>
      </c>
      <c r="F519" t="s">
        <v>23</v>
      </c>
      <c r="G519" t="s">
        <v>137</v>
      </c>
      <c r="H519">
        <v>1</v>
      </c>
      <c r="I519">
        <v>5650</v>
      </c>
      <c r="J519" t="s">
        <v>35</v>
      </c>
      <c r="K519" t="s">
        <v>19</v>
      </c>
      <c r="L519" s="5">
        <f t="shared" si="8"/>
        <v>5650</v>
      </c>
    </row>
    <row r="520" spans="1:12" x14ac:dyDescent="0.3">
      <c r="A520" t="s">
        <v>895</v>
      </c>
      <c r="B520" t="s">
        <v>896</v>
      </c>
      <c r="C520" s="2">
        <v>45751</v>
      </c>
      <c r="D520" t="s">
        <v>33</v>
      </c>
      <c r="E520" t="s">
        <v>34</v>
      </c>
      <c r="F520" t="s">
        <v>16</v>
      </c>
      <c r="G520" t="s">
        <v>134</v>
      </c>
      <c r="H520">
        <v>1</v>
      </c>
      <c r="I520">
        <v>1800</v>
      </c>
      <c r="J520" t="s">
        <v>115</v>
      </c>
      <c r="K520" t="s">
        <v>19</v>
      </c>
      <c r="L520" s="5">
        <f t="shared" si="8"/>
        <v>1800</v>
      </c>
    </row>
    <row r="521" spans="1:12" x14ac:dyDescent="0.3">
      <c r="A521" t="s">
        <v>897</v>
      </c>
      <c r="B521" t="s">
        <v>337</v>
      </c>
      <c r="C521" s="2">
        <v>45976</v>
      </c>
      <c r="D521" t="s">
        <v>14</v>
      </c>
      <c r="E521" t="s">
        <v>22</v>
      </c>
      <c r="F521" t="s">
        <v>16</v>
      </c>
      <c r="G521" t="s">
        <v>17</v>
      </c>
      <c r="H521">
        <v>1</v>
      </c>
      <c r="I521">
        <v>5650</v>
      </c>
      <c r="J521" t="s">
        <v>41</v>
      </c>
      <c r="K521" t="s">
        <v>19</v>
      </c>
      <c r="L521" s="5">
        <f t="shared" si="8"/>
        <v>5650</v>
      </c>
    </row>
    <row r="522" spans="1:12" x14ac:dyDescent="0.3">
      <c r="A522" t="s">
        <v>898</v>
      </c>
      <c r="B522" t="s">
        <v>238</v>
      </c>
      <c r="C522" s="2">
        <v>45702</v>
      </c>
      <c r="D522" t="s">
        <v>14</v>
      </c>
      <c r="E522" t="s">
        <v>51</v>
      </c>
      <c r="F522" t="s">
        <v>59</v>
      </c>
      <c r="G522" t="s">
        <v>163</v>
      </c>
      <c r="H522">
        <v>3</v>
      </c>
      <c r="I522">
        <v>3300</v>
      </c>
      <c r="J522" t="s">
        <v>18</v>
      </c>
      <c r="K522" t="s">
        <v>19</v>
      </c>
      <c r="L522" s="5">
        <f t="shared" si="8"/>
        <v>9900</v>
      </c>
    </row>
    <row r="523" spans="1:12" x14ac:dyDescent="0.3">
      <c r="A523" t="s">
        <v>899</v>
      </c>
      <c r="B523" t="s">
        <v>900</v>
      </c>
      <c r="C523" s="2">
        <v>45877</v>
      </c>
      <c r="D523" t="s">
        <v>64</v>
      </c>
      <c r="E523" t="s">
        <v>93</v>
      </c>
      <c r="F523" t="s">
        <v>23</v>
      </c>
      <c r="G523" t="s">
        <v>56</v>
      </c>
      <c r="H523">
        <v>1</v>
      </c>
      <c r="I523">
        <v>63600</v>
      </c>
      <c r="J523" t="s">
        <v>35</v>
      </c>
      <c r="K523" t="s">
        <v>19</v>
      </c>
      <c r="L523" s="5">
        <f t="shared" si="8"/>
        <v>63600</v>
      </c>
    </row>
    <row r="524" spans="1:12" x14ac:dyDescent="0.3">
      <c r="A524" t="s">
        <v>901</v>
      </c>
      <c r="B524" t="s">
        <v>885</v>
      </c>
      <c r="C524" s="2">
        <v>45784</v>
      </c>
      <c r="D524" t="s">
        <v>14</v>
      </c>
      <c r="E524" t="s">
        <v>15</v>
      </c>
      <c r="F524" t="s">
        <v>16</v>
      </c>
      <c r="G524" t="s">
        <v>81</v>
      </c>
      <c r="H524">
        <v>3</v>
      </c>
      <c r="I524">
        <v>7300</v>
      </c>
      <c r="J524" t="s">
        <v>18</v>
      </c>
      <c r="K524" t="s">
        <v>19</v>
      </c>
      <c r="L524" s="5">
        <f t="shared" si="8"/>
        <v>21900</v>
      </c>
    </row>
    <row r="525" spans="1:12" x14ac:dyDescent="0.3">
      <c r="A525" t="s">
        <v>902</v>
      </c>
      <c r="B525" t="s">
        <v>903</v>
      </c>
      <c r="C525" s="2">
        <v>45985</v>
      </c>
      <c r="D525" t="s">
        <v>64</v>
      </c>
      <c r="E525" t="s">
        <v>65</v>
      </c>
      <c r="F525" t="s">
        <v>16</v>
      </c>
      <c r="G525" t="s">
        <v>17</v>
      </c>
      <c r="H525">
        <v>1</v>
      </c>
      <c r="I525">
        <v>8950</v>
      </c>
      <c r="J525" t="s">
        <v>35</v>
      </c>
      <c r="K525" t="s">
        <v>19</v>
      </c>
      <c r="L525" s="5">
        <f t="shared" si="8"/>
        <v>8950</v>
      </c>
    </row>
    <row r="526" spans="1:12" x14ac:dyDescent="0.3">
      <c r="A526" t="s">
        <v>904</v>
      </c>
      <c r="B526" t="s">
        <v>737</v>
      </c>
      <c r="C526" s="2">
        <v>46020</v>
      </c>
      <c r="D526" t="s">
        <v>33</v>
      </c>
      <c r="E526" t="s">
        <v>80</v>
      </c>
      <c r="F526" t="s">
        <v>23</v>
      </c>
      <c r="G526" t="s">
        <v>137</v>
      </c>
      <c r="H526">
        <v>1</v>
      </c>
      <c r="I526">
        <v>64450</v>
      </c>
      <c r="J526" t="s">
        <v>18</v>
      </c>
      <c r="K526" t="s">
        <v>19</v>
      </c>
      <c r="L526" s="5">
        <f t="shared" si="8"/>
        <v>64450</v>
      </c>
    </row>
    <row r="527" spans="1:12" x14ac:dyDescent="0.3">
      <c r="A527" t="s">
        <v>905</v>
      </c>
      <c r="B527" t="s">
        <v>906</v>
      </c>
      <c r="C527" s="2">
        <v>45745</v>
      </c>
      <c r="D527" t="s">
        <v>64</v>
      </c>
      <c r="E527" t="s">
        <v>93</v>
      </c>
      <c r="F527" t="s">
        <v>16</v>
      </c>
      <c r="G527" t="s">
        <v>17</v>
      </c>
      <c r="H527">
        <v>2</v>
      </c>
      <c r="I527">
        <v>2400</v>
      </c>
      <c r="J527" t="s">
        <v>18</v>
      </c>
      <c r="K527" t="s">
        <v>19</v>
      </c>
      <c r="L527" s="5">
        <f t="shared" si="8"/>
        <v>4800</v>
      </c>
    </row>
    <row r="528" spans="1:12" x14ac:dyDescent="0.3">
      <c r="A528" t="s">
        <v>907</v>
      </c>
      <c r="B528" t="s">
        <v>555</v>
      </c>
      <c r="C528" s="2">
        <v>45944</v>
      </c>
      <c r="D528" t="s">
        <v>14</v>
      </c>
      <c r="E528" t="s">
        <v>22</v>
      </c>
      <c r="F528" t="s">
        <v>59</v>
      </c>
      <c r="G528" t="s">
        <v>60</v>
      </c>
      <c r="H528">
        <v>2</v>
      </c>
      <c r="I528">
        <v>400</v>
      </c>
      <c r="J528" t="s">
        <v>18</v>
      </c>
      <c r="K528" t="s">
        <v>19</v>
      </c>
      <c r="L528" s="5">
        <f t="shared" si="8"/>
        <v>800</v>
      </c>
    </row>
    <row r="529" spans="1:12" x14ac:dyDescent="0.3">
      <c r="A529" t="s">
        <v>908</v>
      </c>
      <c r="B529" t="s">
        <v>852</v>
      </c>
      <c r="C529" s="2">
        <v>45682</v>
      </c>
      <c r="D529" t="s">
        <v>33</v>
      </c>
      <c r="E529" t="s">
        <v>68</v>
      </c>
      <c r="F529" t="s">
        <v>23</v>
      </c>
      <c r="G529" t="s">
        <v>137</v>
      </c>
      <c r="H529">
        <v>4</v>
      </c>
      <c r="I529">
        <v>21100</v>
      </c>
      <c r="J529" t="s">
        <v>18</v>
      </c>
      <c r="K529" t="s">
        <v>19</v>
      </c>
      <c r="L529" s="5">
        <f t="shared" si="8"/>
        <v>84400</v>
      </c>
    </row>
    <row r="530" spans="1:12" x14ac:dyDescent="0.3">
      <c r="A530" t="s">
        <v>909</v>
      </c>
      <c r="B530" t="s">
        <v>910</v>
      </c>
      <c r="C530" s="2">
        <v>46012</v>
      </c>
      <c r="D530" t="s">
        <v>33</v>
      </c>
      <c r="E530" t="s">
        <v>80</v>
      </c>
      <c r="F530" t="s">
        <v>16</v>
      </c>
      <c r="G530" t="s">
        <v>143</v>
      </c>
      <c r="H530">
        <v>1</v>
      </c>
      <c r="I530">
        <v>2350</v>
      </c>
      <c r="J530" t="s">
        <v>18</v>
      </c>
      <c r="K530" t="s">
        <v>19</v>
      </c>
      <c r="L530" s="5">
        <f t="shared" si="8"/>
        <v>2350</v>
      </c>
    </row>
    <row r="531" spans="1:12" x14ac:dyDescent="0.3">
      <c r="A531" t="s">
        <v>911</v>
      </c>
      <c r="B531" t="s">
        <v>655</v>
      </c>
      <c r="C531" s="2">
        <v>45783</v>
      </c>
      <c r="D531" t="s">
        <v>64</v>
      </c>
      <c r="E531" t="s">
        <v>99</v>
      </c>
      <c r="F531" t="s">
        <v>23</v>
      </c>
      <c r="G531" t="s">
        <v>24</v>
      </c>
      <c r="H531">
        <v>1</v>
      </c>
      <c r="I531">
        <v>23950</v>
      </c>
      <c r="J531" t="s">
        <v>18</v>
      </c>
      <c r="K531" t="s">
        <v>19</v>
      </c>
      <c r="L531" s="5">
        <f t="shared" si="8"/>
        <v>23950</v>
      </c>
    </row>
    <row r="532" spans="1:12" x14ac:dyDescent="0.3">
      <c r="A532" t="s">
        <v>912</v>
      </c>
      <c r="B532" t="s">
        <v>389</v>
      </c>
      <c r="C532" s="2">
        <v>45699</v>
      </c>
      <c r="D532" t="s">
        <v>14</v>
      </c>
      <c r="E532" t="s">
        <v>51</v>
      </c>
      <c r="F532" t="s">
        <v>29</v>
      </c>
      <c r="G532" t="s">
        <v>100</v>
      </c>
      <c r="H532">
        <v>1</v>
      </c>
      <c r="I532">
        <v>6550</v>
      </c>
      <c r="J532" t="s">
        <v>35</v>
      </c>
      <c r="K532" t="s">
        <v>69</v>
      </c>
      <c r="L532" s="5">
        <f t="shared" si="8"/>
        <v>6550</v>
      </c>
    </row>
    <row r="533" spans="1:12" x14ac:dyDescent="0.3">
      <c r="A533" t="s">
        <v>913</v>
      </c>
      <c r="B533" t="s">
        <v>287</v>
      </c>
      <c r="C533" s="2">
        <v>45727</v>
      </c>
      <c r="D533" t="s">
        <v>14</v>
      </c>
      <c r="E533" t="s">
        <v>15</v>
      </c>
      <c r="F533" t="s">
        <v>23</v>
      </c>
      <c r="G533" t="s">
        <v>193</v>
      </c>
      <c r="H533">
        <v>1</v>
      </c>
      <c r="I533">
        <v>16550</v>
      </c>
      <c r="J533" t="s">
        <v>41</v>
      </c>
      <c r="K533" t="s">
        <v>19</v>
      </c>
      <c r="L533" s="5">
        <f t="shared" si="8"/>
        <v>16550</v>
      </c>
    </row>
    <row r="534" spans="1:12" x14ac:dyDescent="0.3">
      <c r="A534" t="s">
        <v>914</v>
      </c>
      <c r="B534" t="s">
        <v>334</v>
      </c>
      <c r="C534" s="2">
        <v>45986</v>
      </c>
      <c r="D534" t="s">
        <v>14</v>
      </c>
      <c r="E534" t="s">
        <v>22</v>
      </c>
      <c r="F534" t="s">
        <v>29</v>
      </c>
      <c r="G534" t="s">
        <v>96</v>
      </c>
      <c r="H534">
        <v>2</v>
      </c>
      <c r="I534">
        <v>6250</v>
      </c>
      <c r="J534" t="s">
        <v>41</v>
      </c>
      <c r="K534" t="s">
        <v>19</v>
      </c>
      <c r="L534" s="5">
        <f t="shared" si="8"/>
        <v>12500</v>
      </c>
    </row>
    <row r="535" spans="1:12" x14ac:dyDescent="0.3">
      <c r="A535" t="s">
        <v>915</v>
      </c>
      <c r="B535" t="s">
        <v>350</v>
      </c>
      <c r="C535" s="2">
        <v>45965</v>
      </c>
      <c r="D535" t="s">
        <v>64</v>
      </c>
      <c r="E535" t="s">
        <v>99</v>
      </c>
      <c r="F535" t="s">
        <v>29</v>
      </c>
      <c r="G535" t="s">
        <v>30</v>
      </c>
      <c r="H535">
        <v>1</v>
      </c>
      <c r="I535">
        <v>2750</v>
      </c>
      <c r="J535" t="s">
        <v>18</v>
      </c>
      <c r="K535" t="s">
        <v>19</v>
      </c>
      <c r="L535" s="5">
        <f t="shared" si="8"/>
        <v>2750</v>
      </c>
    </row>
    <row r="536" spans="1:12" x14ac:dyDescent="0.3">
      <c r="A536" t="s">
        <v>916</v>
      </c>
      <c r="B536" t="s">
        <v>581</v>
      </c>
      <c r="C536" s="2">
        <v>45752</v>
      </c>
      <c r="D536" t="s">
        <v>33</v>
      </c>
      <c r="E536" t="s">
        <v>38</v>
      </c>
      <c r="F536" t="s">
        <v>59</v>
      </c>
      <c r="G536" t="s">
        <v>163</v>
      </c>
      <c r="H536">
        <v>3</v>
      </c>
      <c r="I536">
        <v>4450</v>
      </c>
      <c r="J536" t="s">
        <v>18</v>
      </c>
      <c r="K536" t="s">
        <v>19</v>
      </c>
      <c r="L536" s="5">
        <f t="shared" si="8"/>
        <v>13350</v>
      </c>
    </row>
    <row r="537" spans="1:12" x14ac:dyDescent="0.3">
      <c r="A537" t="s">
        <v>917</v>
      </c>
      <c r="B537" t="s">
        <v>918</v>
      </c>
      <c r="C537" s="2">
        <v>45821</v>
      </c>
      <c r="D537" t="s">
        <v>14</v>
      </c>
      <c r="E537" t="s">
        <v>22</v>
      </c>
      <c r="F537" t="s">
        <v>23</v>
      </c>
      <c r="G537" t="s">
        <v>24</v>
      </c>
      <c r="H537">
        <v>1</v>
      </c>
      <c r="I537">
        <v>4350</v>
      </c>
      <c r="J537" t="s">
        <v>18</v>
      </c>
      <c r="K537" t="s">
        <v>69</v>
      </c>
      <c r="L537" s="5">
        <f t="shared" si="8"/>
        <v>4350</v>
      </c>
    </row>
    <row r="538" spans="1:12" x14ac:dyDescent="0.3">
      <c r="A538" t="s">
        <v>919</v>
      </c>
      <c r="B538" t="s">
        <v>920</v>
      </c>
      <c r="C538" s="2">
        <v>45760</v>
      </c>
      <c r="D538" t="s">
        <v>14</v>
      </c>
      <c r="E538" t="s">
        <v>15</v>
      </c>
      <c r="F538" t="s">
        <v>29</v>
      </c>
      <c r="G538" t="s">
        <v>30</v>
      </c>
      <c r="H538">
        <v>3</v>
      </c>
      <c r="I538">
        <v>6150</v>
      </c>
      <c r="J538" t="s">
        <v>18</v>
      </c>
      <c r="K538" t="s">
        <v>19</v>
      </c>
      <c r="L538" s="5">
        <f t="shared" si="8"/>
        <v>18450</v>
      </c>
    </row>
    <row r="539" spans="1:12" x14ac:dyDescent="0.3">
      <c r="A539" t="s">
        <v>921</v>
      </c>
      <c r="B539" t="s">
        <v>374</v>
      </c>
      <c r="C539" s="2">
        <v>45893</v>
      </c>
      <c r="D539" t="s">
        <v>46</v>
      </c>
      <c r="E539" t="s">
        <v>47</v>
      </c>
      <c r="F539" t="s">
        <v>39</v>
      </c>
      <c r="G539" t="s">
        <v>52</v>
      </c>
      <c r="H539">
        <v>3</v>
      </c>
      <c r="I539">
        <v>4050</v>
      </c>
      <c r="J539" t="s">
        <v>18</v>
      </c>
      <c r="K539" t="s">
        <v>19</v>
      </c>
      <c r="L539" s="5">
        <f t="shared" si="8"/>
        <v>12150</v>
      </c>
    </row>
    <row r="540" spans="1:12" x14ac:dyDescent="0.3">
      <c r="A540" t="s">
        <v>922</v>
      </c>
      <c r="B540" t="s">
        <v>114</v>
      </c>
      <c r="C540" s="2">
        <v>45739</v>
      </c>
      <c r="D540" t="s">
        <v>64</v>
      </c>
      <c r="E540" t="s">
        <v>99</v>
      </c>
      <c r="F540" t="s">
        <v>23</v>
      </c>
      <c r="G540" t="s">
        <v>137</v>
      </c>
      <c r="H540">
        <v>2</v>
      </c>
      <c r="I540">
        <v>28250</v>
      </c>
      <c r="J540" t="s">
        <v>35</v>
      </c>
      <c r="K540" t="s">
        <v>19</v>
      </c>
      <c r="L540" s="5">
        <f t="shared" si="8"/>
        <v>56500</v>
      </c>
    </row>
    <row r="541" spans="1:12" x14ac:dyDescent="0.3">
      <c r="A541" t="s">
        <v>923</v>
      </c>
      <c r="B541" t="s">
        <v>145</v>
      </c>
      <c r="C541" s="2">
        <v>45873</v>
      </c>
      <c r="D541" t="s">
        <v>64</v>
      </c>
      <c r="E541" t="s">
        <v>93</v>
      </c>
      <c r="F541" t="s">
        <v>23</v>
      </c>
      <c r="G541" t="s">
        <v>140</v>
      </c>
      <c r="H541">
        <v>1</v>
      </c>
      <c r="I541">
        <v>26300</v>
      </c>
      <c r="J541" t="s">
        <v>41</v>
      </c>
      <c r="K541" t="s">
        <v>69</v>
      </c>
      <c r="L541" s="5">
        <f t="shared" si="8"/>
        <v>26300</v>
      </c>
    </row>
    <row r="542" spans="1:12" x14ac:dyDescent="0.3">
      <c r="A542" t="s">
        <v>924</v>
      </c>
      <c r="B542" t="s">
        <v>295</v>
      </c>
      <c r="C542" s="2">
        <v>45801</v>
      </c>
      <c r="D542" t="s">
        <v>14</v>
      </c>
      <c r="E542" t="s">
        <v>28</v>
      </c>
      <c r="F542" t="s">
        <v>39</v>
      </c>
      <c r="G542" t="s">
        <v>146</v>
      </c>
      <c r="H542">
        <v>1</v>
      </c>
      <c r="I542">
        <v>8550</v>
      </c>
      <c r="J542" t="s">
        <v>115</v>
      </c>
      <c r="K542" t="s">
        <v>19</v>
      </c>
      <c r="L542" s="5">
        <f t="shared" si="8"/>
        <v>8550</v>
      </c>
    </row>
    <row r="543" spans="1:12" x14ac:dyDescent="0.3">
      <c r="A543" t="s">
        <v>925</v>
      </c>
      <c r="B543" t="s">
        <v>211</v>
      </c>
      <c r="C543" s="2">
        <v>45812</v>
      </c>
      <c r="D543" t="s">
        <v>14</v>
      </c>
      <c r="E543" t="s">
        <v>15</v>
      </c>
      <c r="F543" t="s">
        <v>16</v>
      </c>
      <c r="G543" t="s">
        <v>81</v>
      </c>
      <c r="H543">
        <v>2</v>
      </c>
      <c r="I543">
        <v>5500</v>
      </c>
      <c r="J543" t="s">
        <v>41</v>
      </c>
      <c r="K543" t="s">
        <v>69</v>
      </c>
      <c r="L543" s="5">
        <f t="shared" si="8"/>
        <v>11000</v>
      </c>
    </row>
    <row r="544" spans="1:12" x14ac:dyDescent="0.3">
      <c r="A544" t="s">
        <v>926</v>
      </c>
      <c r="B544" t="s">
        <v>533</v>
      </c>
      <c r="C544" s="2">
        <v>45809</v>
      </c>
      <c r="D544" t="s">
        <v>14</v>
      </c>
      <c r="E544" t="s">
        <v>15</v>
      </c>
      <c r="F544" t="s">
        <v>59</v>
      </c>
      <c r="G544" t="s">
        <v>228</v>
      </c>
      <c r="H544">
        <v>3</v>
      </c>
      <c r="I544">
        <v>650</v>
      </c>
      <c r="J544" t="s">
        <v>18</v>
      </c>
      <c r="K544" t="s">
        <v>19</v>
      </c>
      <c r="L544" s="5">
        <f t="shared" si="8"/>
        <v>1950</v>
      </c>
    </row>
    <row r="545" spans="1:12" x14ac:dyDescent="0.3">
      <c r="A545" t="s">
        <v>927</v>
      </c>
      <c r="B545" t="s">
        <v>591</v>
      </c>
      <c r="C545" s="2">
        <v>45711</v>
      </c>
      <c r="D545" t="s">
        <v>14</v>
      </c>
      <c r="E545" t="s">
        <v>15</v>
      </c>
      <c r="F545" t="s">
        <v>23</v>
      </c>
      <c r="G545" t="s">
        <v>24</v>
      </c>
      <c r="H545">
        <v>3</v>
      </c>
      <c r="I545">
        <v>52300</v>
      </c>
      <c r="J545" t="s">
        <v>18</v>
      </c>
      <c r="K545" t="s">
        <v>25</v>
      </c>
      <c r="L545" s="5">
        <f t="shared" si="8"/>
        <v>156900</v>
      </c>
    </row>
    <row r="546" spans="1:12" x14ac:dyDescent="0.3">
      <c r="A546" t="s">
        <v>928</v>
      </c>
      <c r="B546" t="s">
        <v>50</v>
      </c>
      <c r="C546" s="2">
        <v>45848</v>
      </c>
      <c r="D546" t="s">
        <v>64</v>
      </c>
      <c r="F546" t="s">
        <v>29</v>
      </c>
      <c r="G546" t="s">
        <v>96</v>
      </c>
      <c r="H546">
        <v>3</v>
      </c>
      <c r="I546">
        <v>2600</v>
      </c>
      <c r="J546" t="s">
        <v>61</v>
      </c>
      <c r="K546" t="s">
        <v>25</v>
      </c>
      <c r="L546" s="5">
        <f t="shared" si="8"/>
        <v>7800</v>
      </c>
    </row>
    <row r="547" spans="1:12" x14ac:dyDescent="0.3">
      <c r="A547" t="s">
        <v>929</v>
      </c>
      <c r="B547" t="s">
        <v>930</v>
      </c>
      <c r="C547" s="2">
        <v>45829</v>
      </c>
      <c r="D547" t="s">
        <v>64</v>
      </c>
      <c r="E547" t="s">
        <v>93</v>
      </c>
      <c r="F547" t="s">
        <v>23</v>
      </c>
      <c r="G547" t="s">
        <v>140</v>
      </c>
      <c r="H547">
        <v>1</v>
      </c>
      <c r="I547">
        <v>11550</v>
      </c>
      <c r="J547" t="s">
        <v>35</v>
      </c>
      <c r="K547" t="s">
        <v>19</v>
      </c>
      <c r="L547" s="5">
        <f t="shared" si="8"/>
        <v>11550</v>
      </c>
    </row>
    <row r="548" spans="1:12" x14ac:dyDescent="0.3">
      <c r="A548" t="s">
        <v>931</v>
      </c>
      <c r="B548" t="s">
        <v>932</v>
      </c>
      <c r="C548" s="2">
        <v>45884</v>
      </c>
      <c r="D548" t="s">
        <v>46</v>
      </c>
      <c r="E548" t="s">
        <v>75</v>
      </c>
      <c r="F548" t="s">
        <v>23</v>
      </c>
      <c r="G548" t="s">
        <v>24</v>
      </c>
      <c r="H548">
        <v>1</v>
      </c>
      <c r="I548">
        <v>41600</v>
      </c>
      <c r="J548" t="s">
        <v>41</v>
      </c>
      <c r="K548" t="s">
        <v>19</v>
      </c>
      <c r="L548" s="5">
        <f t="shared" si="8"/>
        <v>41600</v>
      </c>
    </row>
    <row r="549" spans="1:12" x14ac:dyDescent="0.3">
      <c r="A549" t="s">
        <v>933</v>
      </c>
      <c r="B549" t="s">
        <v>767</v>
      </c>
      <c r="C549" s="2">
        <v>45930</v>
      </c>
      <c r="D549" t="s">
        <v>64</v>
      </c>
      <c r="E549" t="s">
        <v>86</v>
      </c>
      <c r="F549" t="s">
        <v>59</v>
      </c>
      <c r="G549" t="s">
        <v>60</v>
      </c>
      <c r="H549">
        <v>1</v>
      </c>
      <c r="I549">
        <v>2150</v>
      </c>
      <c r="J549" t="s">
        <v>35</v>
      </c>
      <c r="K549" t="s">
        <v>69</v>
      </c>
      <c r="L549" s="5">
        <f t="shared" si="8"/>
        <v>2150</v>
      </c>
    </row>
    <row r="550" spans="1:12" x14ac:dyDescent="0.3">
      <c r="A550" t="s">
        <v>934</v>
      </c>
      <c r="B550" t="s">
        <v>935</v>
      </c>
      <c r="C550" s="2">
        <v>45949</v>
      </c>
      <c r="D550" t="s">
        <v>14</v>
      </c>
      <c r="E550" t="s">
        <v>22</v>
      </c>
      <c r="F550" t="s">
        <v>16</v>
      </c>
      <c r="G550" t="s">
        <v>134</v>
      </c>
      <c r="H550">
        <v>1</v>
      </c>
      <c r="I550">
        <v>2950</v>
      </c>
      <c r="J550" t="s">
        <v>18</v>
      </c>
      <c r="K550" t="s">
        <v>19</v>
      </c>
      <c r="L550" s="5">
        <f t="shared" si="8"/>
        <v>2950</v>
      </c>
    </row>
    <row r="551" spans="1:12" x14ac:dyDescent="0.3">
      <c r="A551" t="s">
        <v>936</v>
      </c>
      <c r="B551" t="s">
        <v>266</v>
      </c>
      <c r="C551" s="2">
        <v>45898</v>
      </c>
      <c r="D551" t="s">
        <v>64</v>
      </c>
      <c r="E551" t="s">
        <v>99</v>
      </c>
      <c r="F551" t="s">
        <v>23</v>
      </c>
      <c r="G551" t="s">
        <v>24</v>
      </c>
      <c r="H551">
        <v>3</v>
      </c>
      <c r="I551">
        <v>19900</v>
      </c>
      <c r="J551" t="s">
        <v>41</v>
      </c>
      <c r="K551" t="s">
        <v>19</v>
      </c>
      <c r="L551" s="5">
        <f t="shared" si="8"/>
        <v>59700</v>
      </c>
    </row>
    <row r="552" spans="1:12" x14ac:dyDescent="0.3">
      <c r="A552" t="s">
        <v>937</v>
      </c>
      <c r="B552" t="s">
        <v>589</v>
      </c>
      <c r="C552" s="2">
        <v>45849</v>
      </c>
      <c r="D552" t="s">
        <v>14</v>
      </c>
      <c r="E552" t="s">
        <v>15</v>
      </c>
      <c r="F552" t="s">
        <v>23</v>
      </c>
      <c r="G552" t="s">
        <v>193</v>
      </c>
      <c r="H552">
        <v>1</v>
      </c>
      <c r="I552">
        <v>34600</v>
      </c>
      <c r="J552" t="s">
        <v>18</v>
      </c>
      <c r="K552" t="s">
        <v>19</v>
      </c>
      <c r="L552" s="5">
        <f t="shared" si="8"/>
        <v>34600</v>
      </c>
    </row>
    <row r="553" spans="1:12" x14ac:dyDescent="0.3">
      <c r="A553" t="s">
        <v>938</v>
      </c>
      <c r="B553" t="s">
        <v>693</v>
      </c>
      <c r="C553" s="2">
        <v>45902</v>
      </c>
      <c r="D553" t="s">
        <v>14</v>
      </c>
      <c r="E553" t="s">
        <v>51</v>
      </c>
      <c r="F553" t="s">
        <v>29</v>
      </c>
      <c r="G553" t="s">
        <v>96</v>
      </c>
      <c r="H553">
        <v>3</v>
      </c>
      <c r="I553">
        <v>3850</v>
      </c>
      <c r="J553" t="s">
        <v>41</v>
      </c>
      <c r="K553" t="s">
        <v>19</v>
      </c>
      <c r="L553" s="5">
        <f t="shared" si="8"/>
        <v>11550</v>
      </c>
    </row>
    <row r="554" spans="1:12" x14ac:dyDescent="0.3">
      <c r="A554" t="s">
        <v>939</v>
      </c>
      <c r="B554" t="s">
        <v>876</v>
      </c>
      <c r="C554" s="2">
        <v>45742</v>
      </c>
      <c r="D554" t="s">
        <v>46</v>
      </c>
      <c r="E554" t="s">
        <v>47</v>
      </c>
      <c r="F554" t="s">
        <v>59</v>
      </c>
      <c r="G554" t="s">
        <v>163</v>
      </c>
      <c r="H554">
        <v>1</v>
      </c>
      <c r="I554">
        <v>3450</v>
      </c>
      <c r="J554" t="s">
        <v>18</v>
      </c>
      <c r="K554" t="s">
        <v>19</v>
      </c>
      <c r="L554" s="5">
        <f t="shared" si="8"/>
        <v>3450</v>
      </c>
    </row>
    <row r="555" spans="1:12" x14ac:dyDescent="0.3">
      <c r="A555" t="s">
        <v>940</v>
      </c>
      <c r="B555" t="s">
        <v>291</v>
      </c>
      <c r="C555" s="2">
        <v>45854</v>
      </c>
      <c r="D555" t="s">
        <v>46</v>
      </c>
      <c r="E555" t="s">
        <v>75</v>
      </c>
      <c r="F555" t="s">
        <v>29</v>
      </c>
      <c r="G555" t="s">
        <v>100</v>
      </c>
      <c r="H555">
        <v>1</v>
      </c>
      <c r="I555">
        <v>2350</v>
      </c>
      <c r="J555" t="s">
        <v>41</v>
      </c>
      <c r="K555" t="s">
        <v>19</v>
      </c>
      <c r="L555" s="5">
        <f t="shared" si="8"/>
        <v>2350</v>
      </c>
    </row>
    <row r="556" spans="1:12" x14ac:dyDescent="0.3">
      <c r="A556" t="s">
        <v>941</v>
      </c>
      <c r="B556" t="s">
        <v>479</v>
      </c>
      <c r="C556" s="2">
        <v>45754</v>
      </c>
      <c r="D556" t="s">
        <v>14</v>
      </c>
      <c r="E556" t="s">
        <v>15</v>
      </c>
      <c r="F556" t="s">
        <v>39</v>
      </c>
      <c r="G556" t="s">
        <v>40</v>
      </c>
      <c r="H556">
        <v>1</v>
      </c>
      <c r="I556">
        <v>5350</v>
      </c>
      <c r="J556" t="s">
        <v>61</v>
      </c>
      <c r="K556" t="s">
        <v>19</v>
      </c>
      <c r="L556" s="5">
        <f t="shared" si="8"/>
        <v>5350</v>
      </c>
    </row>
    <row r="557" spans="1:12" x14ac:dyDescent="0.3">
      <c r="A557" t="s">
        <v>942</v>
      </c>
      <c r="B557" t="s">
        <v>348</v>
      </c>
      <c r="C557" s="2">
        <v>45818</v>
      </c>
      <c r="D557" t="s">
        <v>14</v>
      </c>
      <c r="E557" t="s">
        <v>51</v>
      </c>
      <c r="F557" t="s">
        <v>59</v>
      </c>
      <c r="G557" t="s">
        <v>103</v>
      </c>
      <c r="H557">
        <v>2</v>
      </c>
      <c r="I557">
        <v>750</v>
      </c>
      <c r="J557" t="s">
        <v>18</v>
      </c>
      <c r="K557" t="s">
        <v>19</v>
      </c>
      <c r="L557" s="5">
        <f t="shared" si="8"/>
        <v>1500</v>
      </c>
    </row>
    <row r="558" spans="1:12" x14ac:dyDescent="0.3">
      <c r="A558" t="s">
        <v>943</v>
      </c>
      <c r="B558" t="s">
        <v>207</v>
      </c>
      <c r="C558" s="2">
        <v>45770</v>
      </c>
      <c r="D558" t="s">
        <v>64</v>
      </c>
      <c r="E558" t="s">
        <v>65</v>
      </c>
      <c r="F558" t="s">
        <v>59</v>
      </c>
      <c r="G558" t="s">
        <v>103</v>
      </c>
      <c r="H558">
        <v>1</v>
      </c>
      <c r="I558">
        <v>4950</v>
      </c>
      <c r="J558" t="s">
        <v>18</v>
      </c>
      <c r="K558" t="s">
        <v>19</v>
      </c>
      <c r="L558" s="5">
        <f t="shared" si="8"/>
        <v>4950</v>
      </c>
    </row>
    <row r="559" spans="1:12" x14ac:dyDescent="0.3">
      <c r="A559" t="s">
        <v>944</v>
      </c>
      <c r="B559" t="s">
        <v>861</v>
      </c>
      <c r="C559" s="2">
        <v>45839</v>
      </c>
      <c r="D559" t="s">
        <v>33</v>
      </c>
      <c r="E559" t="s">
        <v>80</v>
      </c>
      <c r="F559" t="s">
        <v>16</v>
      </c>
      <c r="G559" t="s">
        <v>48</v>
      </c>
      <c r="H559">
        <v>2</v>
      </c>
      <c r="I559">
        <v>4150</v>
      </c>
      <c r="J559" t="s">
        <v>41</v>
      </c>
      <c r="K559" t="s">
        <v>127</v>
      </c>
      <c r="L559" s="5">
        <f t="shared" si="8"/>
        <v>8300</v>
      </c>
    </row>
    <row r="560" spans="1:12" x14ac:dyDescent="0.3">
      <c r="A560" t="s">
        <v>945</v>
      </c>
      <c r="B560" t="s">
        <v>557</v>
      </c>
      <c r="C560" s="2">
        <v>45725</v>
      </c>
      <c r="D560" t="s">
        <v>33</v>
      </c>
      <c r="E560" t="s">
        <v>34</v>
      </c>
      <c r="F560" t="s">
        <v>23</v>
      </c>
      <c r="G560" t="s">
        <v>193</v>
      </c>
      <c r="H560">
        <v>2</v>
      </c>
      <c r="I560">
        <v>64300</v>
      </c>
      <c r="J560" t="s">
        <v>115</v>
      </c>
      <c r="K560" t="s">
        <v>19</v>
      </c>
      <c r="L560" s="5">
        <f t="shared" si="8"/>
        <v>128600</v>
      </c>
    </row>
    <row r="561" spans="1:12" x14ac:dyDescent="0.3">
      <c r="A561" t="s">
        <v>946</v>
      </c>
      <c r="B561" t="s">
        <v>136</v>
      </c>
      <c r="C561" s="2">
        <v>45841</v>
      </c>
      <c r="D561" t="s">
        <v>46</v>
      </c>
      <c r="E561" t="s">
        <v>75</v>
      </c>
      <c r="F561" t="s">
        <v>39</v>
      </c>
      <c r="G561" t="s">
        <v>44</v>
      </c>
      <c r="H561">
        <v>1</v>
      </c>
      <c r="I561">
        <v>7200</v>
      </c>
      <c r="J561" t="s">
        <v>18</v>
      </c>
      <c r="K561" t="s">
        <v>19</v>
      </c>
      <c r="L561" s="5">
        <f t="shared" si="8"/>
        <v>7200</v>
      </c>
    </row>
    <row r="562" spans="1:12" x14ac:dyDescent="0.3">
      <c r="A562" t="s">
        <v>947</v>
      </c>
      <c r="B562" t="s">
        <v>188</v>
      </c>
      <c r="C562" s="2">
        <v>45976</v>
      </c>
      <c r="D562" t="s">
        <v>46</v>
      </c>
      <c r="E562" t="s">
        <v>47</v>
      </c>
      <c r="F562" t="s">
        <v>59</v>
      </c>
      <c r="G562" t="s">
        <v>228</v>
      </c>
      <c r="H562">
        <v>4</v>
      </c>
      <c r="I562">
        <v>4950</v>
      </c>
      <c r="J562" t="s">
        <v>18</v>
      </c>
      <c r="K562" t="s">
        <v>19</v>
      </c>
      <c r="L562" s="5">
        <f t="shared" si="8"/>
        <v>19800</v>
      </c>
    </row>
    <row r="563" spans="1:12" x14ac:dyDescent="0.3">
      <c r="A563" t="s">
        <v>948</v>
      </c>
      <c r="B563" t="s">
        <v>217</v>
      </c>
      <c r="C563" s="2">
        <v>45755</v>
      </c>
      <c r="D563" t="s">
        <v>33</v>
      </c>
      <c r="E563" t="s">
        <v>38</v>
      </c>
      <c r="F563" t="s">
        <v>23</v>
      </c>
      <c r="G563" t="s">
        <v>140</v>
      </c>
      <c r="H563">
        <v>5</v>
      </c>
      <c r="I563">
        <v>28900</v>
      </c>
      <c r="J563" t="s">
        <v>61</v>
      </c>
      <c r="K563" t="s">
        <v>19</v>
      </c>
      <c r="L563" s="5">
        <f t="shared" si="8"/>
        <v>144500</v>
      </c>
    </row>
    <row r="564" spans="1:12" x14ac:dyDescent="0.3">
      <c r="A564" t="s">
        <v>949</v>
      </c>
      <c r="B564" t="s">
        <v>207</v>
      </c>
      <c r="C564" s="2">
        <v>45714</v>
      </c>
      <c r="D564" t="s">
        <v>14</v>
      </c>
      <c r="E564" t="s">
        <v>51</v>
      </c>
      <c r="F564" t="s">
        <v>39</v>
      </c>
      <c r="G564" t="s">
        <v>40</v>
      </c>
      <c r="H564">
        <v>2</v>
      </c>
      <c r="I564">
        <v>3500</v>
      </c>
      <c r="J564" t="s">
        <v>61</v>
      </c>
      <c r="K564" t="s">
        <v>69</v>
      </c>
      <c r="L564" s="5">
        <f t="shared" si="8"/>
        <v>7000</v>
      </c>
    </row>
    <row r="565" spans="1:12" x14ac:dyDescent="0.3">
      <c r="A565" t="s">
        <v>950</v>
      </c>
      <c r="B565" t="s">
        <v>774</v>
      </c>
      <c r="C565" s="2">
        <v>45934</v>
      </c>
      <c r="D565" t="s">
        <v>64</v>
      </c>
      <c r="E565" t="s">
        <v>99</v>
      </c>
      <c r="F565" t="s">
        <v>23</v>
      </c>
      <c r="G565" t="s">
        <v>24</v>
      </c>
      <c r="H565">
        <v>2</v>
      </c>
      <c r="I565">
        <v>53500</v>
      </c>
      <c r="J565" t="s">
        <v>18</v>
      </c>
      <c r="K565" t="s">
        <v>25</v>
      </c>
      <c r="L565" s="5">
        <f t="shared" si="8"/>
        <v>107000</v>
      </c>
    </row>
    <row r="566" spans="1:12" x14ac:dyDescent="0.3">
      <c r="A566" t="s">
        <v>951</v>
      </c>
      <c r="B566" t="s">
        <v>952</v>
      </c>
      <c r="C566" s="2">
        <v>45930</v>
      </c>
      <c r="D566" t="s">
        <v>33</v>
      </c>
      <c r="E566" t="s">
        <v>38</v>
      </c>
      <c r="F566" t="s">
        <v>39</v>
      </c>
      <c r="G566" t="s">
        <v>44</v>
      </c>
      <c r="H566">
        <v>2</v>
      </c>
      <c r="I566">
        <v>650</v>
      </c>
      <c r="J566" t="s">
        <v>35</v>
      </c>
      <c r="K566" t="s">
        <v>69</v>
      </c>
      <c r="L566" s="5">
        <f t="shared" si="8"/>
        <v>1300</v>
      </c>
    </row>
    <row r="567" spans="1:12" x14ac:dyDescent="0.3">
      <c r="A567" t="s">
        <v>953</v>
      </c>
      <c r="B567" t="s">
        <v>71</v>
      </c>
      <c r="C567" s="2">
        <v>45753</v>
      </c>
      <c r="D567" t="s">
        <v>64</v>
      </c>
      <c r="E567" t="s">
        <v>65</v>
      </c>
      <c r="F567" t="s">
        <v>59</v>
      </c>
      <c r="G567" t="s">
        <v>228</v>
      </c>
      <c r="H567">
        <v>1</v>
      </c>
      <c r="I567">
        <v>1600</v>
      </c>
      <c r="J567" t="s">
        <v>41</v>
      </c>
      <c r="K567" t="s">
        <v>19</v>
      </c>
      <c r="L567" s="5">
        <f t="shared" si="8"/>
        <v>1600</v>
      </c>
    </row>
    <row r="568" spans="1:12" x14ac:dyDescent="0.3">
      <c r="A568" t="s">
        <v>954</v>
      </c>
      <c r="B568" t="s">
        <v>254</v>
      </c>
      <c r="C568" s="2">
        <v>45896</v>
      </c>
      <c r="D568" t="s">
        <v>14</v>
      </c>
      <c r="E568" t="s">
        <v>51</v>
      </c>
      <c r="F568" t="s">
        <v>29</v>
      </c>
      <c r="G568" t="s">
        <v>90</v>
      </c>
      <c r="H568">
        <v>3</v>
      </c>
      <c r="I568">
        <v>4250</v>
      </c>
      <c r="J568" t="s">
        <v>35</v>
      </c>
      <c r="K568" t="s">
        <v>19</v>
      </c>
      <c r="L568" s="5">
        <f t="shared" si="8"/>
        <v>12750</v>
      </c>
    </row>
    <row r="569" spans="1:12" x14ac:dyDescent="0.3">
      <c r="A569" t="s">
        <v>955</v>
      </c>
      <c r="B569" t="s">
        <v>416</v>
      </c>
      <c r="C569" s="2">
        <v>45939</v>
      </c>
      <c r="D569" t="s">
        <v>14</v>
      </c>
      <c r="E569" t="s">
        <v>51</v>
      </c>
      <c r="F569" t="s">
        <v>29</v>
      </c>
      <c r="G569" t="s">
        <v>96</v>
      </c>
      <c r="H569">
        <v>4</v>
      </c>
      <c r="I569">
        <v>1800</v>
      </c>
      <c r="J569" t="s">
        <v>18</v>
      </c>
      <c r="K569" t="s">
        <v>19</v>
      </c>
      <c r="L569" s="5">
        <f t="shared" si="8"/>
        <v>7200</v>
      </c>
    </row>
    <row r="570" spans="1:12" x14ac:dyDescent="0.3">
      <c r="A570" t="s">
        <v>956</v>
      </c>
      <c r="B570" t="s">
        <v>201</v>
      </c>
      <c r="C570" s="2">
        <v>45744</v>
      </c>
      <c r="D570" t="s">
        <v>14</v>
      </c>
      <c r="E570" t="s">
        <v>15</v>
      </c>
      <c r="F570" t="s">
        <v>59</v>
      </c>
      <c r="G570" t="s">
        <v>228</v>
      </c>
      <c r="H570">
        <v>2</v>
      </c>
      <c r="I570">
        <v>750</v>
      </c>
      <c r="J570" t="s">
        <v>41</v>
      </c>
      <c r="K570" t="s">
        <v>127</v>
      </c>
      <c r="L570" s="5">
        <f t="shared" si="8"/>
        <v>1500</v>
      </c>
    </row>
    <row r="571" spans="1:12" x14ac:dyDescent="0.3">
      <c r="A571" t="s">
        <v>957</v>
      </c>
      <c r="B571" t="s">
        <v>752</v>
      </c>
      <c r="C571" s="2">
        <v>45660</v>
      </c>
      <c r="D571" t="s">
        <v>14</v>
      </c>
      <c r="E571" t="s">
        <v>28</v>
      </c>
      <c r="F571" t="s">
        <v>29</v>
      </c>
      <c r="G571" t="s">
        <v>184</v>
      </c>
      <c r="H571">
        <v>2</v>
      </c>
      <c r="I571">
        <v>5200</v>
      </c>
      <c r="J571" t="s">
        <v>41</v>
      </c>
      <c r="K571" t="s">
        <v>19</v>
      </c>
      <c r="L571" s="5">
        <f t="shared" si="8"/>
        <v>10400</v>
      </c>
    </row>
    <row r="572" spans="1:12" x14ac:dyDescent="0.3">
      <c r="A572" t="s">
        <v>958</v>
      </c>
      <c r="B572" t="s">
        <v>752</v>
      </c>
      <c r="C572" s="2">
        <v>45747</v>
      </c>
      <c r="D572" t="s">
        <v>46</v>
      </c>
      <c r="E572" t="s">
        <v>75</v>
      </c>
      <c r="F572" t="s">
        <v>39</v>
      </c>
      <c r="G572" t="s">
        <v>40</v>
      </c>
      <c r="H572">
        <v>1</v>
      </c>
      <c r="I572">
        <v>3700</v>
      </c>
      <c r="J572" t="s">
        <v>35</v>
      </c>
      <c r="K572" t="s">
        <v>19</v>
      </c>
      <c r="L572" s="5">
        <f t="shared" si="8"/>
        <v>3700</v>
      </c>
    </row>
    <row r="573" spans="1:12" x14ac:dyDescent="0.3">
      <c r="A573" t="s">
        <v>959</v>
      </c>
      <c r="B573" t="s">
        <v>808</v>
      </c>
      <c r="C573" s="2">
        <v>45861</v>
      </c>
      <c r="D573" t="s">
        <v>33</v>
      </c>
      <c r="E573" t="s">
        <v>34</v>
      </c>
      <c r="F573" t="s">
        <v>29</v>
      </c>
      <c r="G573" t="s">
        <v>30</v>
      </c>
      <c r="H573">
        <v>1</v>
      </c>
      <c r="I573">
        <v>1400</v>
      </c>
      <c r="J573" t="s">
        <v>18</v>
      </c>
      <c r="K573" t="s">
        <v>19</v>
      </c>
      <c r="L573" s="5">
        <f t="shared" si="8"/>
        <v>1400</v>
      </c>
    </row>
    <row r="574" spans="1:12" x14ac:dyDescent="0.3">
      <c r="A574" t="s">
        <v>960</v>
      </c>
      <c r="B574" t="s">
        <v>377</v>
      </c>
      <c r="C574" s="2">
        <v>45784</v>
      </c>
      <c r="D574" t="s">
        <v>33</v>
      </c>
      <c r="E574" t="s">
        <v>38</v>
      </c>
      <c r="F574" t="s">
        <v>29</v>
      </c>
      <c r="G574" t="s">
        <v>100</v>
      </c>
      <c r="H574">
        <v>1</v>
      </c>
      <c r="I574">
        <v>6650</v>
      </c>
      <c r="J574" t="s">
        <v>41</v>
      </c>
      <c r="K574" t="s">
        <v>127</v>
      </c>
      <c r="L574" s="5">
        <f t="shared" si="8"/>
        <v>6650</v>
      </c>
    </row>
    <row r="575" spans="1:12" x14ac:dyDescent="0.3">
      <c r="A575" t="s">
        <v>961</v>
      </c>
      <c r="B575" t="s">
        <v>319</v>
      </c>
      <c r="C575" s="2">
        <v>45758</v>
      </c>
      <c r="D575" t="s">
        <v>14</v>
      </c>
      <c r="E575" t="s">
        <v>28</v>
      </c>
      <c r="F575" t="s">
        <v>23</v>
      </c>
      <c r="G575" t="s">
        <v>137</v>
      </c>
      <c r="H575">
        <v>1</v>
      </c>
      <c r="I575">
        <v>27200</v>
      </c>
      <c r="J575" t="s">
        <v>41</v>
      </c>
      <c r="K575" t="s">
        <v>127</v>
      </c>
      <c r="L575" s="5">
        <f t="shared" si="8"/>
        <v>27200</v>
      </c>
    </row>
    <row r="576" spans="1:12" x14ac:dyDescent="0.3">
      <c r="A576" t="s">
        <v>962</v>
      </c>
      <c r="B576" t="s">
        <v>555</v>
      </c>
      <c r="C576" s="2">
        <v>45787</v>
      </c>
      <c r="D576" t="s">
        <v>33</v>
      </c>
      <c r="E576" t="s">
        <v>80</v>
      </c>
      <c r="F576" t="s">
        <v>16</v>
      </c>
      <c r="G576" t="s">
        <v>17</v>
      </c>
      <c r="H576">
        <v>1</v>
      </c>
      <c r="I576">
        <v>5000</v>
      </c>
      <c r="J576" t="s">
        <v>41</v>
      </c>
      <c r="K576" t="s">
        <v>19</v>
      </c>
      <c r="L576" s="5">
        <f t="shared" si="8"/>
        <v>5000</v>
      </c>
    </row>
    <row r="577" spans="1:12" x14ac:dyDescent="0.3">
      <c r="A577" t="s">
        <v>963</v>
      </c>
      <c r="B577" t="s">
        <v>964</v>
      </c>
      <c r="C577" s="2">
        <v>45860</v>
      </c>
      <c r="D577" t="s">
        <v>14</v>
      </c>
      <c r="E577" t="s">
        <v>51</v>
      </c>
      <c r="F577" t="s">
        <v>16</v>
      </c>
      <c r="G577" t="s">
        <v>134</v>
      </c>
      <c r="H577">
        <v>1</v>
      </c>
      <c r="I577">
        <v>3250</v>
      </c>
      <c r="J577" t="s">
        <v>41</v>
      </c>
      <c r="K577" t="s">
        <v>19</v>
      </c>
      <c r="L577" s="5">
        <f t="shared" si="8"/>
        <v>3250</v>
      </c>
    </row>
    <row r="578" spans="1:12" x14ac:dyDescent="0.3">
      <c r="A578" t="s">
        <v>965</v>
      </c>
      <c r="B578" t="s">
        <v>966</v>
      </c>
      <c r="C578" s="2">
        <v>45739</v>
      </c>
      <c r="D578" t="s">
        <v>46</v>
      </c>
      <c r="E578" t="s">
        <v>55</v>
      </c>
      <c r="F578" t="s">
        <v>23</v>
      </c>
      <c r="G578" t="s">
        <v>193</v>
      </c>
      <c r="H578">
        <v>3</v>
      </c>
      <c r="I578">
        <v>5900</v>
      </c>
      <c r="J578" t="s">
        <v>35</v>
      </c>
      <c r="K578" t="s">
        <v>19</v>
      </c>
      <c r="L578" s="5">
        <f t="shared" si="8"/>
        <v>17700</v>
      </c>
    </row>
    <row r="579" spans="1:12" x14ac:dyDescent="0.3">
      <c r="A579" t="s">
        <v>967</v>
      </c>
      <c r="B579" t="s">
        <v>392</v>
      </c>
      <c r="C579" s="2">
        <v>45862</v>
      </c>
      <c r="D579" t="s">
        <v>14</v>
      </c>
      <c r="E579" t="s">
        <v>15</v>
      </c>
      <c r="F579" t="s">
        <v>23</v>
      </c>
      <c r="G579" t="s">
        <v>56</v>
      </c>
      <c r="H579">
        <v>2</v>
      </c>
      <c r="I579">
        <v>61900</v>
      </c>
      <c r="J579" t="s">
        <v>41</v>
      </c>
      <c r="K579" t="s">
        <v>69</v>
      </c>
      <c r="L579" s="5">
        <f t="shared" ref="L579:L642" si="9">H579*I579</f>
        <v>123800</v>
      </c>
    </row>
    <row r="580" spans="1:12" x14ac:dyDescent="0.3">
      <c r="A580" t="s">
        <v>968</v>
      </c>
      <c r="B580" t="s">
        <v>772</v>
      </c>
      <c r="C580" s="2">
        <v>45995</v>
      </c>
      <c r="D580" t="s">
        <v>14</v>
      </c>
      <c r="E580" t="s">
        <v>28</v>
      </c>
      <c r="F580" t="s">
        <v>23</v>
      </c>
      <c r="G580" t="s">
        <v>140</v>
      </c>
      <c r="H580">
        <v>2</v>
      </c>
      <c r="I580">
        <v>6300</v>
      </c>
      <c r="J580" t="s">
        <v>35</v>
      </c>
      <c r="K580" t="s">
        <v>19</v>
      </c>
      <c r="L580" s="5">
        <f t="shared" si="9"/>
        <v>12600</v>
      </c>
    </row>
    <row r="581" spans="1:12" x14ac:dyDescent="0.3">
      <c r="A581" t="s">
        <v>969</v>
      </c>
      <c r="B581" t="s">
        <v>63</v>
      </c>
      <c r="C581" s="2">
        <v>46020</v>
      </c>
      <c r="D581" t="s">
        <v>14</v>
      </c>
      <c r="E581" t="s">
        <v>22</v>
      </c>
      <c r="F581" t="s">
        <v>39</v>
      </c>
      <c r="G581" t="s">
        <v>87</v>
      </c>
      <c r="H581">
        <v>1</v>
      </c>
      <c r="I581">
        <v>5750</v>
      </c>
      <c r="J581" t="s">
        <v>41</v>
      </c>
      <c r="K581" t="s">
        <v>19</v>
      </c>
      <c r="L581" s="5">
        <f t="shared" si="9"/>
        <v>5750</v>
      </c>
    </row>
    <row r="582" spans="1:12" x14ac:dyDescent="0.3">
      <c r="A582" t="s">
        <v>970</v>
      </c>
      <c r="B582" t="s">
        <v>971</v>
      </c>
      <c r="C582" s="2">
        <v>45846</v>
      </c>
      <c r="D582" t="s">
        <v>14</v>
      </c>
      <c r="E582" t="s">
        <v>15</v>
      </c>
      <c r="F582" t="s">
        <v>59</v>
      </c>
      <c r="G582" t="s">
        <v>322</v>
      </c>
      <c r="H582">
        <v>2</v>
      </c>
      <c r="I582">
        <v>4000</v>
      </c>
      <c r="J582" t="s">
        <v>18</v>
      </c>
      <c r="K582" t="s">
        <v>19</v>
      </c>
      <c r="L582" s="5">
        <f t="shared" si="9"/>
        <v>8000</v>
      </c>
    </row>
    <row r="583" spans="1:12" x14ac:dyDescent="0.3">
      <c r="A583" t="s">
        <v>972</v>
      </c>
      <c r="B583" t="s">
        <v>285</v>
      </c>
      <c r="C583" s="2">
        <v>45805</v>
      </c>
      <c r="D583" t="s">
        <v>14</v>
      </c>
      <c r="E583" t="s">
        <v>22</v>
      </c>
      <c r="F583" t="s">
        <v>59</v>
      </c>
      <c r="G583" t="s">
        <v>103</v>
      </c>
      <c r="H583">
        <v>1</v>
      </c>
      <c r="I583">
        <v>500</v>
      </c>
      <c r="J583" t="s">
        <v>41</v>
      </c>
      <c r="K583" t="s">
        <v>19</v>
      </c>
      <c r="L583" s="5">
        <f t="shared" si="9"/>
        <v>500</v>
      </c>
    </row>
    <row r="584" spans="1:12" x14ac:dyDescent="0.3">
      <c r="A584" t="s">
        <v>973</v>
      </c>
      <c r="B584" t="s">
        <v>256</v>
      </c>
      <c r="C584" s="2">
        <v>45725</v>
      </c>
      <c r="D584" t="s">
        <v>14</v>
      </c>
      <c r="E584" t="s">
        <v>22</v>
      </c>
      <c r="F584" t="s">
        <v>23</v>
      </c>
      <c r="G584" t="s">
        <v>56</v>
      </c>
      <c r="H584">
        <v>1</v>
      </c>
      <c r="I584">
        <v>13800</v>
      </c>
      <c r="J584" t="s">
        <v>35</v>
      </c>
      <c r="K584" t="s">
        <v>19</v>
      </c>
      <c r="L584" s="5">
        <f t="shared" si="9"/>
        <v>13800</v>
      </c>
    </row>
    <row r="585" spans="1:12" x14ac:dyDescent="0.3">
      <c r="A585" t="s">
        <v>974</v>
      </c>
      <c r="B585" t="s">
        <v>975</v>
      </c>
      <c r="C585" s="2">
        <v>45755</v>
      </c>
      <c r="D585" t="s">
        <v>64</v>
      </c>
      <c r="E585" t="s">
        <v>65</v>
      </c>
      <c r="F585" t="s">
        <v>59</v>
      </c>
      <c r="G585" t="s">
        <v>60</v>
      </c>
      <c r="H585">
        <v>3</v>
      </c>
      <c r="I585">
        <v>2500</v>
      </c>
      <c r="J585" t="s">
        <v>41</v>
      </c>
      <c r="K585" t="s">
        <v>19</v>
      </c>
      <c r="L585" s="5">
        <f t="shared" si="9"/>
        <v>7500</v>
      </c>
    </row>
    <row r="586" spans="1:12" x14ac:dyDescent="0.3">
      <c r="A586" t="s">
        <v>976</v>
      </c>
      <c r="B586" t="s">
        <v>150</v>
      </c>
      <c r="C586" s="2">
        <v>45911</v>
      </c>
      <c r="D586" t="s">
        <v>14</v>
      </c>
      <c r="E586" t="s">
        <v>15</v>
      </c>
      <c r="F586" t="s">
        <v>29</v>
      </c>
      <c r="G586" t="s">
        <v>184</v>
      </c>
      <c r="H586">
        <v>1</v>
      </c>
      <c r="I586">
        <v>800</v>
      </c>
      <c r="J586" t="s">
        <v>18</v>
      </c>
      <c r="K586" t="s">
        <v>19</v>
      </c>
      <c r="L586" s="5">
        <f t="shared" si="9"/>
        <v>800</v>
      </c>
    </row>
    <row r="587" spans="1:12" x14ac:dyDescent="0.3">
      <c r="A587" t="s">
        <v>977</v>
      </c>
      <c r="B587" t="s">
        <v>978</v>
      </c>
      <c r="C587" s="2">
        <v>45929</v>
      </c>
      <c r="D587" t="s">
        <v>14</v>
      </c>
      <c r="E587" t="s">
        <v>28</v>
      </c>
      <c r="F587" t="s">
        <v>23</v>
      </c>
      <c r="G587" t="s">
        <v>193</v>
      </c>
      <c r="H587">
        <v>2</v>
      </c>
      <c r="I587">
        <v>61050</v>
      </c>
      <c r="J587" t="s">
        <v>35</v>
      </c>
      <c r="K587" t="s">
        <v>127</v>
      </c>
      <c r="L587" s="5">
        <f t="shared" si="9"/>
        <v>122100</v>
      </c>
    </row>
    <row r="588" spans="1:12" x14ac:dyDescent="0.3">
      <c r="A588" t="s">
        <v>979</v>
      </c>
      <c r="B588" t="s">
        <v>813</v>
      </c>
      <c r="C588" s="2">
        <v>45879</v>
      </c>
      <c r="D588" t="s">
        <v>64</v>
      </c>
      <c r="E588" t="s">
        <v>86</v>
      </c>
      <c r="F588" t="s">
        <v>16</v>
      </c>
      <c r="G588" t="s">
        <v>134</v>
      </c>
      <c r="H588">
        <v>1</v>
      </c>
      <c r="I588">
        <v>4600</v>
      </c>
      <c r="J588" t="s">
        <v>18</v>
      </c>
      <c r="K588" t="s">
        <v>127</v>
      </c>
      <c r="L588" s="5">
        <f t="shared" si="9"/>
        <v>4600</v>
      </c>
    </row>
    <row r="589" spans="1:12" x14ac:dyDescent="0.3">
      <c r="A589" t="s">
        <v>980</v>
      </c>
      <c r="B589" t="s">
        <v>493</v>
      </c>
      <c r="C589" s="2">
        <v>45849</v>
      </c>
      <c r="D589" t="s">
        <v>14</v>
      </c>
      <c r="E589" t="s">
        <v>28</v>
      </c>
      <c r="F589" t="s">
        <v>16</v>
      </c>
      <c r="G589" t="s">
        <v>81</v>
      </c>
      <c r="H589">
        <v>1</v>
      </c>
      <c r="I589">
        <v>7700</v>
      </c>
      <c r="J589" t="s">
        <v>18</v>
      </c>
      <c r="K589" t="s">
        <v>19</v>
      </c>
      <c r="L589" s="5">
        <f t="shared" si="9"/>
        <v>7700</v>
      </c>
    </row>
    <row r="590" spans="1:12" x14ac:dyDescent="0.3">
      <c r="A590" t="s">
        <v>981</v>
      </c>
      <c r="B590" t="s">
        <v>270</v>
      </c>
      <c r="C590" s="2">
        <v>45806</v>
      </c>
      <c r="D590" t="s">
        <v>64</v>
      </c>
      <c r="E590" t="s">
        <v>99</v>
      </c>
      <c r="F590" t="s">
        <v>39</v>
      </c>
      <c r="G590" t="s">
        <v>52</v>
      </c>
      <c r="H590">
        <v>1</v>
      </c>
      <c r="I590">
        <v>1650</v>
      </c>
      <c r="J590" t="s">
        <v>18</v>
      </c>
      <c r="K590" t="s">
        <v>19</v>
      </c>
      <c r="L590" s="5">
        <f t="shared" si="9"/>
        <v>1650</v>
      </c>
    </row>
    <row r="591" spans="1:12" x14ac:dyDescent="0.3">
      <c r="A591" t="s">
        <v>982</v>
      </c>
      <c r="B591" t="s">
        <v>213</v>
      </c>
      <c r="C591" s="2">
        <v>45895</v>
      </c>
      <c r="D591" t="s">
        <v>64</v>
      </c>
      <c r="E591" t="s">
        <v>93</v>
      </c>
      <c r="F591" t="s">
        <v>39</v>
      </c>
      <c r="G591" t="s">
        <v>40</v>
      </c>
      <c r="H591">
        <v>1</v>
      </c>
      <c r="I591">
        <v>3400</v>
      </c>
      <c r="J591" t="s">
        <v>35</v>
      </c>
      <c r="K591" t="s">
        <v>19</v>
      </c>
      <c r="L591" s="5">
        <f t="shared" si="9"/>
        <v>3400</v>
      </c>
    </row>
    <row r="592" spans="1:12" x14ac:dyDescent="0.3">
      <c r="A592" t="s">
        <v>983</v>
      </c>
      <c r="B592" t="s">
        <v>401</v>
      </c>
      <c r="C592" s="2">
        <v>46011</v>
      </c>
      <c r="D592" t="s">
        <v>64</v>
      </c>
      <c r="E592" t="s">
        <v>99</v>
      </c>
      <c r="F592" t="s">
        <v>29</v>
      </c>
      <c r="G592" t="s">
        <v>90</v>
      </c>
      <c r="H592">
        <v>3</v>
      </c>
      <c r="I592">
        <v>6400</v>
      </c>
      <c r="J592" t="s">
        <v>41</v>
      </c>
      <c r="K592" t="s">
        <v>19</v>
      </c>
      <c r="L592" s="5">
        <f t="shared" si="9"/>
        <v>19200</v>
      </c>
    </row>
    <row r="593" spans="1:12" x14ac:dyDescent="0.3">
      <c r="A593" t="s">
        <v>984</v>
      </c>
      <c r="B593" t="s">
        <v>124</v>
      </c>
      <c r="C593" s="2">
        <v>45964</v>
      </c>
      <c r="D593" t="s">
        <v>46</v>
      </c>
      <c r="E593" t="s">
        <v>75</v>
      </c>
      <c r="F593" t="s">
        <v>16</v>
      </c>
      <c r="G593" t="s">
        <v>143</v>
      </c>
      <c r="H593">
        <v>1</v>
      </c>
      <c r="I593">
        <v>1350</v>
      </c>
      <c r="J593" t="s">
        <v>35</v>
      </c>
      <c r="K593" t="s">
        <v>19</v>
      </c>
      <c r="L593" s="5">
        <f t="shared" si="9"/>
        <v>1350</v>
      </c>
    </row>
    <row r="594" spans="1:12" x14ac:dyDescent="0.3">
      <c r="A594" t="s">
        <v>985</v>
      </c>
      <c r="B594" t="s">
        <v>986</v>
      </c>
      <c r="C594" s="2">
        <v>45769</v>
      </c>
      <c r="D594" t="s">
        <v>64</v>
      </c>
      <c r="E594" t="s">
        <v>99</v>
      </c>
      <c r="F594" t="s">
        <v>16</v>
      </c>
      <c r="G594" t="s">
        <v>143</v>
      </c>
      <c r="H594">
        <v>1</v>
      </c>
      <c r="I594">
        <v>3800</v>
      </c>
      <c r="J594" t="s">
        <v>18</v>
      </c>
      <c r="K594" t="s">
        <v>19</v>
      </c>
      <c r="L594" s="5">
        <f t="shared" si="9"/>
        <v>3800</v>
      </c>
    </row>
    <row r="595" spans="1:12" x14ac:dyDescent="0.3">
      <c r="A595" t="s">
        <v>987</v>
      </c>
      <c r="B595" t="s">
        <v>562</v>
      </c>
      <c r="C595" s="2">
        <v>45824</v>
      </c>
      <c r="D595" t="s">
        <v>33</v>
      </c>
      <c r="E595" t="s">
        <v>80</v>
      </c>
      <c r="F595" t="s">
        <v>23</v>
      </c>
      <c r="G595" t="s">
        <v>137</v>
      </c>
      <c r="H595">
        <v>1</v>
      </c>
      <c r="I595">
        <v>43050</v>
      </c>
      <c r="J595" t="s">
        <v>18</v>
      </c>
      <c r="K595" t="s">
        <v>19</v>
      </c>
      <c r="L595" s="5">
        <f t="shared" si="9"/>
        <v>43050</v>
      </c>
    </row>
    <row r="596" spans="1:12" x14ac:dyDescent="0.3">
      <c r="A596" t="s">
        <v>988</v>
      </c>
      <c r="B596" t="s">
        <v>989</v>
      </c>
      <c r="C596" s="2">
        <v>45802</v>
      </c>
      <c r="D596" t="s">
        <v>14</v>
      </c>
      <c r="E596" t="s">
        <v>22</v>
      </c>
      <c r="F596" t="s">
        <v>39</v>
      </c>
      <c r="G596" t="s">
        <v>146</v>
      </c>
      <c r="H596">
        <v>3</v>
      </c>
      <c r="I596">
        <v>8450</v>
      </c>
      <c r="J596" t="s">
        <v>18</v>
      </c>
      <c r="K596" t="s">
        <v>127</v>
      </c>
      <c r="L596" s="5">
        <f t="shared" si="9"/>
        <v>25350</v>
      </c>
    </row>
    <row r="597" spans="1:12" x14ac:dyDescent="0.3">
      <c r="A597" t="s">
        <v>990</v>
      </c>
      <c r="B597" t="s">
        <v>673</v>
      </c>
      <c r="C597" s="2">
        <v>45675</v>
      </c>
      <c r="D597" t="s">
        <v>14</v>
      </c>
      <c r="E597" t="s">
        <v>15</v>
      </c>
      <c r="F597" t="s">
        <v>29</v>
      </c>
      <c r="G597" t="s">
        <v>96</v>
      </c>
      <c r="H597">
        <v>1</v>
      </c>
      <c r="I597">
        <v>2950</v>
      </c>
      <c r="J597" t="s">
        <v>18</v>
      </c>
      <c r="K597" t="s">
        <v>19</v>
      </c>
      <c r="L597" s="5">
        <f t="shared" si="9"/>
        <v>2950</v>
      </c>
    </row>
    <row r="598" spans="1:12" x14ac:dyDescent="0.3">
      <c r="A598" t="s">
        <v>991</v>
      </c>
      <c r="B598" t="s">
        <v>348</v>
      </c>
      <c r="C598" s="2">
        <v>45891</v>
      </c>
      <c r="D598" t="s">
        <v>33</v>
      </c>
      <c r="E598" t="s">
        <v>34</v>
      </c>
      <c r="F598" t="s">
        <v>23</v>
      </c>
      <c r="G598" t="s">
        <v>56</v>
      </c>
      <c r="H598">
        <v>1</v>
      </c>
      <c r="I598">
        <v>16100</v>
      </c>
      <c r="J598" t="s">
        <v>41</v>
      </c>
      <c r="K598" t="s">
        <v>19</v>
      </c>
      <c r="L598" s="5">
        <f t="shared" si="9"/>
        <v>16100</v>
      </c>
    </row>
    <row r="599" spans="1:12" x14ac:dyDescent="0.3">
      <c r="A599" t="s">
        <v>992</v>
      </c>
      <c r="B599" t="s">
        <v>993</v>
      </c>
      <c r="C599" s="2">
        <v>45946</v>
      </c>
      <c r="D599" t="s">
        <v>64</v>
      </c>
      <c r="E599" t="s">
        <v>99</v>
      </c>
      <c r="F599" t="s">
        <v>29</v>
      </c>
      <c r="G599" t="s">
        <v>96</v>
      </c>
      <c r="H599">
        <v>3</v>
      </c>
      <c r="I599">
        <v>800</v>
      </c>
      <c r="J599" t="s">
        <v>18</v>
      </c>
      <c r="K599" t="s">
        <v>19</v>
      </c>
      <c r="L599" s="5">
        <f t="shared" si="9"/>
        <v>2400</v>
      </c>
    </row>
    <row r="600" spans="1:12" x14ac:dyDescent="0.3">
      <c r="A600" t="s">
        <v>994</v>
      </c>
      <c r="B600" t="s">
        <v>995</v>
      </c>
      <c r="C600" s="2">
        <v>45911</v>
      </c>
      <c r="D600" t="s">
        <v>14</v>
      </c>
      <c r="E600" t="s">
        <v>51</v>
      </c>
      <c r="F600" t="s">
        <v>39</v>
      </c>
      <c r="G600" t="s">
        <v>40</v>
      </c>
      <c r="H600">
        <v>1</v>
      </c>
      <c r="I600">
        <v>900</v>
      </c>
      <c r="J600" t="s">
        <v>41</v>
      </c>
      <c r="K600" t="s">
        <v>19</v>
      </c>
      <c r="L600" s="5">
        <f t="shared" si="9"/>
        <v>900</v>
      </c>
    </row>
    <row r="601" spans="1:12" x14ac:dyDescent="0.3">
      <c r="A601" t="s">
        <v>996</v>
      </c>
      <c r="B601" t="s">
        <v>997</v>
      </c>
      <c r="C601" s="2">
        <v>45818</v>
      </c>
      <c r="D601" t="s">
        <v>46</v>
      </c>
      <c r="E601" t="s">
        <v>75</v>
      </c>
      <c r="F601" t="s">
        <v>16</v>
      </c>
      <c r="G601" t="s">
        <v>17</v>
      </c>
      <c r="H601">
        <v>3</v>
      </c>
      <c r="I601">
        <v>1100</v>
      </c>
      <c r="J601" t="s">
        <v>115</v>
      </c>
      <c r="K601" t="s">
        <v>25</v>
      </c>
      <c r="L601" s="5">
        <f t="shared" si="9"/>
        <v>3300</v>
      </c>
    </row>
    <row r="602" spans="1:12" x14ac:dyDescent="0.3">
      <c r="A602" t="s">
        <v>998</v>
      </c>
      <c r="B602" t="s">
        <v>735</v>
      </c>
      <c r="C602" s="2">
        <v>45978</v>
      </c>
      <c r="D602" t="s">
        <v>14</v>
      </c>
      <c r="E602" t="s">
        <v>28</v>
      </c>
      <c r="F602" t="s">
        <v>29</v>
      </c>
      <c r="G602" t="s">
        <v>100</v>
      </c>
      <c r="H602">
        <v>1</v>
      </c>
      <c r="I602">
        <v>5600</v>
      </c>
      <c r="J602" t="s">
        <v>18</v>
      </c>
      <c r="K602" t="s">
        <v>19</v>
      </c>
      <c r="L602" s="5">
        <f t="shared" si="9"/>
        <v>5600</v>
      </c>
    </row>
    <row r="603" spans="1:12" x14ac:dyDescent="0.3">
      <c r="A603" t="s">
        <v>999</v>
      </c>
      <c r="B603" t="s">
        <v>1000</v>
      </c>
      <c r="C603" s="2">
        <v>45942</v>
      </c>
      <c r="D603" t="s">
        <v>14</v>
      </c>
      <c r="E603" t="s">
        <v>15</v>
      </c>
      <c r="F603" t="s">
        <v>23</v>
      </c>
      <c r="G603" t="s">
        <v>193</v>
      </c>
      <c r="H603">
        <v>2</v>
      </c>
      <c r="I603">
        <v>11750</v>
      </c>
      <c r="J603" t="s">
        <v>18</v>
      </c>
      <c r="K603" t="s">
        <v>19</v>
      </c>
      <c r="L603" s="5">
        <f t="shared" si="9"/>
        <v>23500</v>
      </c>
    </row>
    <row r="604" spans="1:12" x14ac:dyDescent="0.3">
      <c r="A604" t="s">
        <v>1001</v>
      </c>
      <c r="B604" t="s">
        <v>410</v>
      </c>
      <c r="C604" s="2">
        <v>45784</v>
      </c>
      <c r="D604" t="s">
        <v>14</v>
      </c>
      <c r="E604" t="s">
        <v>28</v>
      </c>
      <c r="F604" t="s">
        <v>23</v>
      </c>
      <c r="G604" t="s">
        <v>24</v>
      </c>
      <c r="H604">
        <v>1</v>
      </c>
      <c r="I604">
        <v>7100</v>
      </c>
      <c r="J604" t="s">
        <v>115</v>
      </c>
      <c r="K604" t="s">
        <v>19</v>
      </c>
      <c r="L604" s="5">
        <f t="shared" si="9"/>
        <v>7100</v>
      </c>
    </row>
    <row r="605" spans="1:12" x14ac:dyDescent="0.3">
      <c r="A605" t="s">
        <v>1002</v>
      </c>
      <c r="B605" t="s">
        <v>606</v>
      </c>
      <c r="C605" s="2">
        <v>45662</v>
      </c>
      <c r="D605" t="s">
        <v>46</v>
      </c>
      <c r="E605" t="s">
        <v>55</v>
      </c>
      <c r="F605" t="s">
        <v>29</v>
      </c>
      <c r="G605" t="s">
        <v>90</v>
      </c>
      <c r="H605">
        <v>2</v>
      </c>
      <c r="I605">
        <v>1350</v>
      </c>
      <c r="J605" t="s">
        <v>35</v>
      </c>
      <c r="K605" t="s">
        <v>19</v>
      </c>
      <c r="L605" s="5">
        <f t="shared" si="9"/>
        <v>2700</v>
      </c>
    </row>
    <row r="606" spans="1:12" x14ac:dyDescent="0.3">
      <c r="A606" t="s">
        <v>1003</v>
      </c>
      <c r="B606" t="s">
        <v>331</v>
      </c>
      <c r="C606" s="2">
        <v>46012</v>
      </c>
      <c r="D606" t="s">
        <v>64</v>
      </c>
      <c r="E606" t="s">
        <v>99</v>
      </c>
      <c r="F606" t="s">
        <v>23</v>
      </c>
      <c r="G606" t="s">
        <v>140</v>
      </c>
      <c r="H606">
        <v>3</v>
      </c>
      <c r="I606">
        <v>21050</v>
      </c>
      <c r="J606" t="s">
        <v>41</v>
      </c>
      <c r="K606" t="s">
        <v>19</v>
      </c>
      <c r="L606" s="5">
        <f t="shared" si="9"/>
        <v>63150</v>
      </c>
    </row>
    <row r="607" spans="1:12" x14ac:dyDescent="0.3">
      <c r="A607" t="s">
        <v>1004</v>
      </c>
      <c r="B607" t="s">
        <v>1005</v>
      </c>
      <c r="C607" s="2">
        <v>45894</v>
      </c>
      <c r="D607" t="s">
        <v>64</v>
      </c>
      <c r="E607" t="s">
        <v>99</v>
      </c>
      <c r="F607" t="s">
        <v>16</v>
      </c>
      <c r="G607" t="s">
        <v>134</v>
      </c>
      <c r="H607">
        <v>2</v>
      </c>
      <c r="I607">
        <v>2100</v>
      </c>
      <c r="J607" t="s">
        <v>115</v>
      </c>
      <c r="K607" t="s">
        <v>25</v>
      </c>
      <c r="L607" s="5">
        <f t="shared" si="9"/>
        <v>4200</v>
      </c>
    </row>
    <row r="608" spans="1:12" x14ac:dyDescent="0.3">
      <c r="A608" t="s">
        <v>1006</v>
      </c>
      <c r="B608" t="s">
        <v>201</v>
      </c>
      <c r="C608" s="2">
        <v>45816</v>
      </c>
      <c r="D608" t="s">
        <v>46</v>
      </c>
      <c r="E608" t="s">
        <v>75</v>
      </c>
      <c r="F608" t="s">
        <v>23</v>
      </c>
      <c r="G608" t="s">
        <v>24</v>
      </c>
      <c r="H608">
        <v>1</v>
      </c>
      <c r="I608">
        <v>9100</v>
      </c>
      <c r="J608" t="s">
        <v>35</v>
      </c>
      <c r="K608" t="s">
        <v>19</v>
      </c>
      <c r="L608" s="5">
        <f t="shared" si="9"/>
        <v>9100</v>
      </c>
    </row>
    <row r="609" spans="1:12" x14ac:dyDescent="0.3">
      <c r="A609" t="s">
        <v>1007</v>
      </c>
      <c r="B609" t="s">
        <v>254</v>
      </c>
      <c r="C609" s="2">
        <v>45901</v>
      </c>
      <c r="D609" t="s">
        <v>14</v>
      </c>
      <c r="E609" t="s">
        <v>22</v>
      </c>
      <c r="F609" t="s">
        <v>23</v>
      </c>
      <c r="G609" t="s">
        <v>56</v>
      </c>
      <c r="H609">
        <v>3</v>
      </c>
      <c r="I609">
        <v>53200</v>
      </c>
      <c r="J609" t="s">
        <v>18</v>
      </c>
      <c r="K609" t="s">
        <v>19</v>
      </c>
      <c r="L609" s="5">
        <f t="shared" si="9"/>
        <v>159600</v>
      </c>
    </row>
    <row r="610" spans="1:12" x14ac:dyDescent="0.3">
      <c r="A610" t="s">
        <v>1008</v>
      </c>
      <c r="B610" t="s">
        <v>152</v>
      </c>
      <c r="C610" s="2">
        <v>45699</v>
      </c>
      <c r="D610" t="s">
        <v>14</v>
      </c>
      <c r="E610" t="s">
        <v>22</v>
      </c>
      <c r="F610" t="s">
        <v>16</v>
      </c>
      <c r="G610" t="s">
        <v>81</v>
      </c>
      <c r="H610">
        <v>1</v>
      </c>
      <c r="I610">
        <v>1900</v>
      </c>
      <c r="J610" t="s">
        <v>41</v>
      </c>
      <c r="K610" t="s">
        <v>127</v>
      </c>
      <c r="L610" s="5">
        <f t="shared" si="9"/>
        <v>1900</v>
      </c>
    </row>
    <row r="611" spans="1:12" x14ac:dyDescent="0.3">
      <c r="A611" t="s">
        <v>1009</v>
      </c>
      <c r="B611" t="s">
        <v>493</v>
      </c>
      <c r="C611" s="2">
        <v>45823</v>
      </c>
      <c r="D611" t="s">
        <v>14</v>
      </c>
      <c r="E611" t="s">
        <v>15</v>
      </c>
      <c r="F611" t="s">
        <v>16</v>
      </c>
      <c r="G611" t="s">
        <v>17</v>
      </c>
      <c r="H611">
        <v>4</v>
      </c>
      <c r="I611">
        <v>5750</v>
      </c>
      <c r="J611" t="s">
        <v>115</v>
      </c>
      <c r="K611" t="s">
        <v>19</v>
      </c>
      <c r="L611" s="5">
        <f t="shared" si="9"/>
        <v>23000</v>
      </c>
    </row>
    <row r="612" spans="1:12" x14ac:dyDescent="0.3">
      <c r="A612" t="s">
        <v>1010</v>
      </c>
      <c r="B612" t="s">
        <v>246</v>
      </c>
      <c r="C612" s="2">
        <v>45938</v>
      </c>
      <c r="D612" t="s">
        <v>33</v>
      </c>
      <c r="E612" t="s">
        <v>68</v>
      </c>
      <c r="F612" t="s">
        <v>16</v>
      </c>
      <c r="G612" t="s">
        <v>17</v>
      </c>
      <c r="H612">
        <v>4</v>
      </c>
      <c r="I612">
        <v>2050</v>
      </c>
      <c r="J612" t="s">
        <v>61</v>
      </c>
      <c r="K612" t="s">
        <v>19</v>
      </c>
      <c r="L612" s="5">
        <f t="shared" si="9"/>
        <v>8200</v>
      </c>
    </row>
    <row r="613" spans="1:12" x14ac:dyDescent="0.3">
      <c r="A613" t="s">
        <v>1011</v>
      </c>
      <c r="B613" t="s">
        <v>1012</v>
      </c>
      <c r="C613" s="2">
        <v>45883</v>
      </c>
      <c r="D613" t="s">
        <v>64</v>
      </c>
      <c r="E613" t="s">
        <v>93</v>
      </c>
      <c r="F613" t="s">
        <v>16</v>
      </c>
      <c r="G613" t="s">
        <v>48</v>
      </c>
      <c r="H613">
        <v>3</v>
      </c>
      <c r="I613">
        <v>5850</v>
      </c>
      <c r="J613" t="s">
        <v>35</v>
      </c>
      <c r="K613" t="s">
        <v>19</v>
      </c>
      <c r="L613" s="5">
        <f t="shared" si="9"/>
        <v>17550</v>
      </c>
    </row>
    <row r="614" spans="1:12" x14ac:dyDescent="0.3">
      <c r="A614" t="s">
        <v>1013</v>
      </c>
      <c r="B614" t="s">
        <v>199</v>
      </c>
      <c r="C614" s="2">
        <v>46011</v>
      </c>
      <c r="D614" t="s">
        <v>33</v>
      </c>
      <c r="E614" t="s">
        <v>68</v>
      </c>
      <c r="F614" t="s">
        <v>59</v>
      </c>
      <c r="G614" t="s">
        <v>228</v>
      </c>
      <c r="H614">
        <v>2</v>
      </c>
      <c r="I614">
        <v>2350</v>
      </c>
      <c r="J614" t="s">
        <v>18</v>
      </c>
      <c r="K614" t="s">
        <v>19</v>
      </c>
      <c r="L614" s="5">
        <f t="shared" si="9"/>
        <v>4700</v>
      </c>
    </row>
    <row r="615" spans="1:12" x14ac:dyDescent="0.3">
      <c r="A615" t="s">
        <v>1014</v>
      </c>
      <c r="B615" t="s">
        <v>456</v>
      </c>
      <c r="C615" s="2">
        <v>45951</v>
      </c>
      <c r="D615" t="s">
        <v>14</v>
      </c>
      <c r="E615" t="s">
        <v>28</v>
      </c>
      <c r="F615" t="s">
        <v>16</v>
      </c>
      <c r="G615" t="s">
        <v>48</v>
      </c>
      <c r="H615">
        <v>2</v>
      </c>
      <c r="I615">
        <v>750</v>
      </c>
      <c r="J615" t="s">
        <v>61</v>
      </c>
      <c r="K615" t="s">
        <v>19</v>
      </c>
      <c r="L615" s="5">
        <f t="shared" si="9"/>
        <v>1500</v>
      </c>
    </row>
    <row r="616" spans="1:12" x14ac:dyDescent="0.3">
      <c r="A616" t="s">
        <v>1015</v>
      </c>
      <c r="B616" t="s">
        <v>227</v>
      </c>
      <c r="C616" s="2">
        <v>45896</v>
      </c>
      <c r="D616" t="s">
        <v>64</v>
      </c>
      <c r="E616" t="s">
        <v>99</v>
      </c>
      <c r="F616" t="s">
        <v>59</v>
      </c>
      <c r="G616" t="s">
        <v>228</v>
      </c>
      <c r="H616">
        <v>1</v>
      </c>
      <c r="I616">
        <v>3000</v>
      </c>
      <c r="J616" t="s">
        <v>115</v>
      </c>
      <c r="K616" t="s">
        <v>19</v>
      </c>
      <c r="L616" s="5">
        <f t="shared" si="9"/>
        <v>3000</v>
      </c>
    </row>
    <row r="617" spans="1:12" x14ac:dyDescent="0.3">
      <c r="A617" t="s">
        <v>1016</v>
      </c>
      <c r="B617" t="s">
        <v>308</v>
      </c>
      <c r="C617" s="2">
        <v>45684</v>
      </c>
      <c r="D617" t="s">
        <v>33</v>
      </c>
      <c r="E617" t="s">
        <v>68</v>
      </c>
      <c r="F617" t="s">
        <v>16</v>
      </c>
      <c r="G617" t="s">
        <v>81</v>
      </c>
      <c r="H617">
        <v>2</v>
      </c>
      <c r="I617">
        <v>8200</v>
      </c>
      <c r="J617" t="s">
        <v>41</v>
      </c>
      <c r="K617" t="s">
        <v>127</v>
      </c>
      <c r="L617" s="5">
        <f t="shared" si="9"/>
        <v>16400</v>
      </c>
    </row>
    <row r="618" spans="1:12" x14ac:dyDescent="0.3">
      <c r="A618" t="s">
        <v>1017</v>
      </c>
      <c r="B618" t="s">
        <v>295</v>
      </c>
      <c r="C618" s="2">
        <v>45733</v>
      </c>
      <c r="D618" t="s">
        <v>33</v>
      </c>
      <c r="E618" t="s">
        <v>68</v>
      </c>
      <c r="F618" t="s">
        <v>16</v>
      </c>
      <c r="G618" t="s">
        <v>134</v>
      </c>
      <c r="H618">
        <v>1</v>
      </c>
      <c r="I618">
        <v>6350</v>
      </c>
      <c r="J618" t="s">
        <v>61</v>
      </c>
      <c r="K618" t="s">
        <v>19</v>
      </c>
      <c r="L618" s="5">
        <f t="shared" si="9"/>
        <v>6350</v>
      </c>
    </row>
    <row r="619" spans="1:12" x14ac:dyDescent="0.3">
      <c r="A619" t="s">
        <v>1018</v>
      </c>
      <c r="B619" t="s">
        <v>299</v>
      </c>
      <c r="C619" s="2">
        <v>45822</v>
      </c>
      <c r="D619" t="s">
        <v>46</v>
      </c>
      <c r="E619" t="s">
        <v>72</v>
      </c>
      <c r="F619" t="s">
        <v>29</v>
      </c>
      <c r="G619" t="s">
        <v>30</v>
      </c>
      <c r="H619">
        <v>1</v>
      </c>
      <c r="I619">
        <v>2100</v>
      </c>
      <c r="J619" t="s">
        <v>18</v>
      </c>
      <c r="K619" t="s">
        <v>127</v>
      </c>
      <c r="L619" s="5">
        <f t="shared" si="9"/>
        <v>2100</v>
      </c>
    </row>
    <row r="620" spans="1:12" x14ac:dyDescent="0.3">
      <c r="A620" t="s">
        <v>1019</v>
      </c>
      <c r="B620" t="s">
        <v>1020</v>
      </c>
      <c r="C620" s="2">
        <v>45676</v>
      </c>
      <c r="D620" t="s">
        <v>33</v>
      </c>
      <c r="E620" t="s">
        <v>80</v>
      </c>
      <c r="F620" t="s">
        <v>16</v>
      </c>
      <c r="G620" t="s">
        <v>143</v>
      </c>
      <c r="H620">
        <v>2</v>
      </c>
      <c r="I620">
        <v>5950</v>
      </c>
      <c r="J620" t="s">
        <v>18</v>
      </c>
      <c r="K620" t="s">
        <v>19</v>
      </c>
      <c r="L620" s="5">
        <f t="shared" si="9"/>
        <v>11900</v>
      </c>
    </row>
    <row r="621" spans="1:12" x14ac:dyDescent="0.3">
      <c r="A621" t="s">
        <v>1021</v>
      </c>
      <c r="B621" t="s">
        <v>1022</v>
      </c>
      <c r="C621" s="2">
        <v>45888</v>
      </c>
      <c r="D621" t="s">
        <v>14</v>
      </c>
      <c r="E621" t="s">
        <v>15</v>
      </c>
      <c r="F621" t="s">
        <v>16</v>
      </c>
      <c r="G621" t="s">
        <v>143</v>
      </c>
      <c r="H621">
        <v>3</v>
      </c>
      <c r="I621">
        <v>3550</v>
      </c>
      <c r="J621" t="s">
        <v>18</v>
      </c>
      <c r="K621" t="s">
        <v>19</v>
      </c>
      <c r="L621" s="5">
        <f t="shared" si="9"/>
        <v>10650</v>
      </c>
    </row>
    <row r="622" spans="1:12" x14ac:dyDescent="0.3">
      <c r="A622" t="s">
        <v>1023</v>
      </c>
      <c r="B622" t="s">
        <v>1024</v>
      </c>
      <c r="C622" s="2">
        <v>45735</v>
      </c>
      <c r="D622" t="s">
        <v>14</v>
      </c>
      <c r="E622" t="s">
        <v>28</v>
      </c>
      <c r="F622" t="s">
        <v>39</v>
      </c>
      <c r="G622" t="s">
        <v>40</v>
      </c>
      <c r="H622">
        <v>1</v>
      </c>
      <c r="I622">
        <v>9850</v>
      </c>
      <c r="J622" t="s">
        <v>18</v>
      </c>
      <c r="K622" t="s">
        <v>19</v>
      </c>
      <c r="L622" s="5">
        <f t="shared" si="9"/>
        <v>9850</v>
      </c>
    </row>
    <row r="623" spans="1:12" x14ac:dyDescent="0.3">
      <c r="A623" t="s">
        <v>1025</v>
      </c>
      <c r="B623" t="s">
        <v>758</v>
      </c>
      <c r="C623" s="2">
        <v>45828</v>
      </c>
      <c r="D623" t="s">
        <v>14</v>
      </c>
      <c r="E623" t="s">
        <v>51</v>
      </c>
      <c r="F623" t="s">
        <v>23</v>
      </c>
      <c r="G623" t="s">
        <v>137</v>
      </c>
      <c r="H623">
        <v>1</v>
      </c>
      <c r="I623">
        <v>50500</v>
      </c>
      <c r="J623" t="s">
        <v>41</v>
      </c>
      <c r="K623" t="s">
        <v>19</v>
      </c>
      <c r="L623" s="5">
        <f t="shared" si="9"/>
        <v>50500</v>
      </c>
    </row>
    <row r="624" spans="1:12" x14ac:dyDescent="0.3">
      <c r="A624" t="s">
        <v>1026</v>
      </c>
      <c r="B624" t="s">
        <v>800</v>
      </c>
      <c r="C624" s="2">
        <v>45765</v>
      </c>
      <c r="D624" t="s">
        <v>33</v>
      </c>
      <c r="E624" t="s">
        <v>80</v>
      </c>
      <c r="F624" t="s">
        <v>23</v>
      </c>
      <c r="G624" t="s">
        <v>140</v>
      </c>
      <c r="H624">
        <v>3</v>
      </c>
      <c r="I624">
        <v>49700</v>
      </c>
      <c r="J624" t="s">
        <v>41</v>
      </c>
      <c r="K624" t="s">
        <v>19</v>
      </c>
      <c r="L624" s="5">
        <f t="shared" si="9"/>
        <v>149100</v>
      </c>
    </row>
    <row r="625" spans="1:12" x14ac:dyDescent="0.3">
      <c r="A625" t="s">
        <v>1027</v>
      </c>
      <c r="B625" t="s">
        <v>501</v>
      </c>
      <c r="C625" s="2">
        <v>45839</v>
      </c>
      <c r="D625" t="s">
        <v>46</v>
      </c>
      <c r="E625" t="s">
        <v>47</v>
      </c>
      <c r="F625" t="s">
        <v>16</v>
      </c>
      <c r="G625" t="s">
        <v>143</v>
      </c>
      <c r="H625">
        <v>4</v>
      </c>
      <c r="I625">
        <v>4500</v>
      </c>
      <c r="J625" t="s">
        <v>18</v>
      </c>
      <c r="K625" t="s">
        <v>69</v>
      </c>
      <c r="L625" s="5">
        <f t="shared" si="9"/>
        <v>18000</v>
      </c>
    </row>
    <row r="626" spans="1:12" x14ac:dyDescent="0.3">
      <c r="A626" t="s">
        <v>1028</v>
      </c>
      <c r="B626" t="s">
        <v>608</v>
      </c>
      <c r="C626" s="2">
        <v>45934</v>
      </c>
      <c r="D626" t="s">
        <v>14</v>
      </c>
      <c r="E626" t="s">
        <v>22</v>
      </c>
      <c r="F626" t="s">
        <v>39</v>
      </c>
      <c r="G626" t="s">
        <v>52</v>
      </c>
      <c r="H626">
        <v>4</v>
      </c>
      <c r="I626">
        <v>3600</v>
      </c>
      <c r="J626" t="s">
        <v>61</v>
      </c>
      <c r="K626" t="s">
        <v>19</v>
      </c>
      <c r="L626" s="5">
        <f t="shared" si="9"/>
        <v>14400</v>
      </c>
    </row>
    <row r="627" spans="1:12" x14ac:dyDescent="0.3">
      <c r="A627" t="s">
        <v>1029</v>
      </c>
      <c r="B627" t="s">
        <v>575</v>
      </c>
      <c r="C627" s="2">
        <v>45855</v>
      </c>
      <c r="D627" t="s">
        <v>64</v>
      </c>
      <c r="E627" t="s">
        <v>99</v>
      </c>
      <c r="F627" t="s">
        <v>16</v>
      </c>
      <c r="G627" t="s">
        <v>81</v>
      </c>
      <c r="H627">
        <v>1</v>
      </c>
      <c r="I627">
        <v>4700</v>
      </c>
      <c r="J627" t="s">
        <v>18</v>
      </c>
      <c r="K627" t="s">
        <v>19</v>
      </c>
      <c r="L627" s="5">
        <f t="shared" si="9"/>
        <v>4700</v>
      </c>
    </row>
    <row r="628" spans="1:12" x14ac:dyDescent="0.3">
      <c r="A628" t="s">
        <v>1030</v>
      </c>
      <c r="B628" t="s">
        <v>43</v>
      </c>
      <c r="C628" s="2">
        <v>45699</v>
      </c>
      <c r="D628" t="s">
        <v>14</v>
      </c>
      <c r="E628" t="s">
        <v>51</v>
      </c>
      <c r="F628" t="s">
        <v>16</v>
      </c>
      <c r="G628" t="s">
        <v>17</v>
      </c>
      <c r="H628">
        <v>3</v>
      </c>
      <c r="I628">
        <v>300</v>
      </c>
      <c r="J628" t="s">
        <v>115</v>
      </c>
      <c r="K628" t="s">
        <v>19</v>
      </c>
      <c r="L628" s="5">
        <f t="shared" si="9"/>
        <v>900</v>
      </c>
    </row>
    <row r="629" spans="1:12" x14ac:dyDescent="0.3">
      <c r="A629" t="s">
        <v>1031</v>
      </c>
      <c r="B629" t="s">
        <v>169</v>
      </c>
      <c r="C629" s="2">
        <v>45903</v>
      </c>
      <c r="D629" t="s">
        <v>64</v>
      </c>
      <c r="E629" t="s">
        <v>93</v>
      </c>
      <c r="F629" t="s">
        <v>39</v>
      </c>
      <c r="G629" t="s">
        <v>44</v>
      </c>
      <c r="H629">
        <v>1</v>
      </c>
      <c r="I629">
        <v>2950</v>
      </c>
      <c r="J629" t="s">
        <v>35</v>
      </c>
      <c r="K629" t="s">
        <v>19</v>
      </c>
      <c r="L629" s="5">
        <f t="shared" si="9"/>
        <v>2950</v>
      </c>
    </row>
    <row r="630" spans="1:12" x14ac:dyDescent="0.3">
      <c r="A630" t="s">
        <v>1032</v>
      </c>
      <c r="B630" t="s">
        <v>975</v>
      </c>
      <c r="C630" s="2">
        <v>45942</v>
      </c>
      <c r="D630" t="s">
        <v>46</v>
      </c>
      <c r="E630" t="s">
        <v>55</v>
      </c>
      <c r="F630" t="s">
        <v>29</v>
      </c>
      <c r="G630" t="s">
        <v>100</v>
      </c>
      <c r="H630">
        <v>5</v>
      </c>
      <c r="I630">
        <v>1700</v>
      </c>
      <c r="J630" t="s">
        <v>61</v>
      </c>
      <c r="K630" t="s">
        <v>19</v>
      </c>
      <c r="L630" s="5">
        <f t="shared" si="9"/>
        <v>8500</v>
      </c>
    </row>
    <row r="631" spans="1:12" x14ac:dyDescent="0.3">
      <c r="A631" t="s">
        <v>1033</v>
      </c>
      <c r="B631" t="s">
        <v>854</v>
      </c>
      <c r="C631" s="2">
        <v>45860</v>
      </c>
      <c r="D631" t="s">
        <v>14</v>
      </c>
      <c r="E631" t="s">
        <v>51</v>
      </c>
      <c r="F631" t="s">
        <v>23</v>
      </c>
      <c r="G631" t="s">
        <v>24</v>
      </c>
      <c r="H631">
        <v>5</v>
      </c>
      <c r="I631">
        <v>33850</v>
      </c>
      <c r="J631" t="s">
        <v>35</v>
      </c>
      <c r="K631" t="s">
        <v>19</v>
      </c>
      <c r="L631" s="5">
        <f t="shared" si="9"/>
        <v>169250</v>
      </c>
    </row>
    <row r="632" spans="1:12" x14ac:dyDescent="0.3">
      <c r="A632" t="s">
        <v>1034</v>
      </c>
      <c r="B632" t="s">
        <v>571</v>
      </c>
      <c r="C632" s="2">
        <v>45940</v>
      </c>
      <c r="D632" t="s">
        <v>46</v>
      </c>
      <c r="E632" t="s">
        <v>55</v>
      </c>
      <c r="F632" t="s">
        <v>23</v>
      </c>
      <c r="G632" t="s">
        <v>56</v>
      </c>
      <c r="H632">
        <v>3</v>
      </c>
      <c r="I632">
        <v>28450</v>
      </c>
      <c r="J632" t="s">
        <v>41</v>
      </c>
      <c r="K632" t="s">
        <v>127</v>
      </c>
      <c r="L632" s="5">
        <f t="shared" si="9"/>
        <v>85350</v>
      </c>
    </row>
    <row r="633" spans="1:12" x14ac:dyDescent="0.3">
      <c r="A633" t="s">
        <v>1035</v>
      </c>
      <c r="B633" t="s">
        <v>989</v>
      </c>
      <c r="C633" s="2">
        <v>45760</v>
      </c>
      <c r="D633" t="s">
        <v>64</v>
      </c>
      <c r="E633" t="s">
        <v>99</v>
      </c>
      <c r="F633" t="s">
        <v>16</v>
      </c>
      <c r="G633" t="s">
        <v>134</v>
      </c>
      <c r="H633">
        <v>2</v>
      </c>
      <c r="I633">
        <v>2200</v>
      </c>
      <c r="J633" t="s">
        <v>18</v>
      </c>
      <c r="K633" t="s">
        <v>19</v>
      </c>
      <c r="L633" s="5">
        <f t="shared" si="9"/>
        <v>4400</v>
      </c>
    </row>
    <row r="634" spans="1:12" x14ac:dyDescent="0.3">
      <c r="A634" t="s">
        <v>1036</v>
      </c>
      <c r="B634" t="s">
        <v>906</v>
      </c>
      <c r="C634" s="2">
        <v>45729</v>
      </c>
      <c r="D634" t="s">
        <v>46</v>
      </c>
      <c r="E634" t="s">
        <v>55</v>
      </c>
      <c r="F634" t="s">
        <v>29</v>
      </c>
      <c r="G634" t="s">
        <v>90</v>
      </c>
      <c r="H634">
        <v>3</v>
      </c>
      <c r="I634">
        <v>4750</v>
      </c>
      <c r="J634" t="s">
        <v>18</v>
      </c>
      <c r="K634" t="s">
        <v>19</v>
      </c>
      <c r="L634" s="5">
        <f t="shared" si="9"/>
        <v>14250</v>
      </c>
    </row>
    <row r="635" spans="1:12" x14ac:dyDescent="0.3">
      <c r="A635" t="s">
        <v>1037</v>
      </c>
      <c r="B635" t="s">
        <v>449</v>
      </c>
      <c r="C635" s="2">
        <v>45912</v>
      </c>
      <c r="D635" t="s">
        <v>14</v>
      </c>
      <c r="E635" t="s">
        <v>22</v>
      </c>
      <c r="F635" t="s">
        <v>29</v>
      </c>
      <c r="G635" t="s">
        <v>90</v>
      </c>
      <c r="H635">
        <v>1</v>
      </c>
      <c r="I635">
        <v>1400</v>
      </c>
      <c r="J635" t="s">
        <v>41</v>
      </c>
      <c r="K635" t="s">
        <v>19</v>
      </c>
      <c r="L635" s="5">
        <f t="shared" si="9"/>
        <v>1400</v>
      </c>
    </row>
    <row r="636" spans="1:12" x14ac:dyDescent="0.3">
      <c r="A636" t="s">
        <v>1038</v>
      </c>
      <c r="B636" t="s">
        <v>1039</v>
      </c>
      <c r="C636" s="2">
        <v>45892</v>
      </c>
      <c r="D636" t="s">
        <v>14</v>
      </c>
      <c r="E636" t="s">
        <v>15</v>
      </c>
      <c r="F636" t="s">
        <v>29</v>
      </c>
      <c r="G636" t="s">
        <v>90</v>
      </c>
      <c r="H636">
        <v>3</v>
      </c>
      <c r="I636">
        <v>5650</v>
      </c>
      <c r="J636" t="s">
        <v>18</v>
      </c>
      <c r="K636" t="s">
        <v>69</v>
      </c>
      <c r="L636" s="5">
        <f t="shared" si="9"/>
        <v>16950</v>
      </c>
    </row>
    <row r="637" spans="1:12" x14ac:dyDescent="0.3">
      <c r="A637" t="s">
        <v>1040</v>
      </c>
      <c r="B637" t="s">
        <v>1041</v>
      </c>
      <c r="C637" s="2">
        <v>45763</v>
      </c>
      <c r="D637" t="s">
        <v>14</v>
      </c>
      <c r="E637" t="s">
        <v>28</v>
      </c>
      <c r="F637" t="s">
        <v>23</v>
      </c>
      <c r="G637" t="s">
        <v>140</v>
      </c>
      <c r="H637">
        <v>1</v>
      </c>
      <c r="I637">
        <v>3850</v>
      </c>
      <c r="J637" t="s">
        <v>18</v>
      </c>
      <c r="K637" t="s">
        <v>19</v>
      </c>
      <c r="L637" s="5">
        <f t="shared" si="9"/>
        <v>3850</v>
      </c>
    </row>
    <row r="638" spans="1:12" x14ac:dyDescent="0.3">
      <c r="A638" t="s">
        <v>1042</v>
      </c>
      <c r="B638" t="s">
        <v>287</v>
      </c>
      <c r="C638" s="2">
        <v>45674</v>
      </c>
      <c r="D638" t="s">
        <v>14</v>
      </c>
      <c r="E638" t="s">
        <v>15</v>
      </c>
      <c r="F638" t="s">
        <v>16</v>
      </c>
      <c r="G638" t="s">
        <v>48</v>
      </c>
      <c r="H638">
        <v>1</v>
      </c>
      <c r="I638">
        <v>8800</v>
      </c>
      <c r="J638" t="s">
        <v>41</v>
      </c>
      <c r="K638" t="s">
        <v>19</v>
      </c>
      <c r="L638" s="5">
        <f t="shared" si="9"/>
        <v>8800</v>
      </c>
    </row>
    <row r="639" spans="1:12" x14ac:dyDescent="0.3">
      <c r="A639" t="s">
        <v>1043</v>
      </c>
      <c r="B639" t="s">
        <v>966</v>
      </c>
      <c r="C639" s="2">
        <v>45971</v>
      </c>
      <c r="D639" t="s">
        <v>64</v>
      </c>
      <c r="E639" t="s">
        <v>65</v>
      </c>
      <c r="F639" t="s">
        <v>23</v>
      </c>
      <c r="G639" t="s">
        <v>56</v>
      </c>
      <c r="H639">
        <v>2</v>
      </c>
      <c r="I639">
        <v>25200</v>
      </c>
      <c r="J639" t="s">
        <v>18</v>
      </c>
      <c r="K639" t="s">
        <v>19</v>
      </c>
      <c r="L639" s="5">
        <f t="shared" si="9"/>
        <v>50400</v>
      </c>
    </row>
    <row r="640" spans="1:12" x14ac:dyDescent="0.3">
      <c r="A640" t="s">
        <v>1044</v>
      </c>
      <c r="B640" t="s">
        <v>1045</v>
      </c>
      <c r="C640" s="2">
        <v>45731</v>
      </c>
      <c r="D640" t="s">
        <v>46</v>
      </c>
      <c r="E640" t="s">
        <v>47</v>
      </c>
      <c r="F640" t="s">
        <v>23</v>
      </c>
      <c r="G640" t="s">
        <v>193</v>
      </c>
      <c r="H640">
        <v>1</v>
      </c>
      <c r="I640">
        <v>53100</v>
      </c>
      <c r="J640" t="s">
        <v>18</v>
      </c>
      <c r="K640" t="s">
        <v>69</v>
      </c>
      <c r="L640" s="5">
        <f t="shared" si="9"/>
        <v>53100</v>
      </c>
    </row>
    <row r="641" spans="1:12" x14ac:dyDescent="0.3">
      <c r="A641" t="s">
        <v>1046</v>
      </c>
      <c r="B641" t="s">
        <v>13</v>
      </c>
      <c r="C641" s="2">
        <v>45674</v>
      </c>
      <c r="D641" t="s">
        <v>14</v>
      </c>
      <c r="E641" t="s">
        <v>15</v>
      </c>
      <c r="F641" t="s">
        <v>23</v>
      </c>
      <c r="G641" t="s">
        <v>137</v>
      </c>
      <c r="H641">
        <v>1</v>
      </c>
      <c r="I641">
        <v>14850</v>
      </c>
      <c r="J641" t="s">
        <v>61</v>
      </c>
      <c r="K641" t="s">
        <v>19</v>
      </c>
      <c r="L641" s="5">
        <f t="shared" si="9"/>
        <v>14850</v>
      </c>
    </row>
    <row r="642" spans="1:12" x14ac:dyDescent="0.3">
      <c r="A642" t="s">
        <v>1047</v>
      </c>
      <c r="B642" t="s">
        <v>405</v>
      </c>
      <c r="C642" s="2">
        <v>45916</v>
      </c>
      <c r="D642" t="s">
        <v>33</v>
      </c>
      <c r="E642" t="s">
        <v>38</v>
      </c>
      <c r="F642" t="s">
        <v>23</v>
      </c>
      <c r="G642" t="s">
        <v>24</v>
      </c>
      <c r="H642">
        <v>2</v>
      </c>
      <c r="I642">
        <v>1200</v>
      </c>
      <c r="J642" t="s">
        <v>18</v>
      </c>
      <c r="K642" t="s">
        <v>127</v>
      </c>
      <c r="L642" s="5">
        <f t="shared" si="9"/>
        <v>2400</v>
      </c>
    </row>
    <row r="643" spans="1:12" x14ac:dyDescent="0.3">
      <c r="A643" t="s">
        <v>1048</v>
      </c>
      <c r="B643" t="s">
        <v>248</v>
      </c>
      <c r="C643" s="2">
        <v>45991</v>
      </c>
      <c r="D643" t="s">
        <v>14</v>
      </c>
      <c r="E643" t="s">
        <v>22</v>
      </c>
      <c r="F643" t="s">
        <v>16</v>
      </c>
      <c r="G643" t="s">
        <v>17</v>
      </c>
      <c r="H643">
        <v>1</v>
      </c>
      <c r="I643">
        <v>3400</v>
      </c>
      <c r="J643" t="s">
        <v>41</v>
      </c>
      <c r="K643" t="s">
        <v>19</v>
      </c>
      <c r="L643" s="5">
        <f t="shared" ref="L643:L706" si="10">H643*I643</f>
        <v>3400</v>
      </c>
    </row>
    <row r="644" spans="1:12" x14ac:dyDescent="0.3">
      <c r="A644" t="s">
        <v>1049</v>
      </c>
      <c r="B644" t="s">
        <v>1020</v>
      </c>
      <c r="C644" s="2">
        <v>46005</v>
      </c>
      <c r="D644" t="s">
        <v>14</v>
      </c>
      <c r="E644" t="s">
        <v>51</v>
      </c>
      <c r="F644" t="s">
        <v>23</v>
      </c>
      <c r="G644" t="s">
        <v>56</v>
      </c>
      <c r="H644">
        <v>2</v>
      </c>
      <c r="I644">
        <v>4600</v>
      </c>
      <c r="J644" t="s">
        <v>18</v>
      </c>
      <c r="K644" t="s">
        <v>19</v>
      </c>
      <c r="L644" s="5">
        <f t="shared" si="10"/>
        <v>9200</v>
      </c>
    </row>
    <row r="645" spans="1:12" x14ac:dyDescent="0.3">
      <c r="A645" t="s">
        <v>1050</v>
      </c>
      <c r="B645" t="s">
        <v>1051</v>
      </c>
      <c r="C645" s="2">
        <v>45760</v>
      </c>
      <c r="D645" t="s">
        <v>33</v>
      </c>
      <c r="E645" t="s">
        <v>68</v>
      </c>
      <c r="F645" t="s">
        <v>29</v>
      </c>
      <c r="G645" t="s">
        <v>90</v>
      </c>
      <c r="H645">
        <v>1</v>
      </c>
      <c r="I645">
        <v>6550</v>
      </c>
      <c r="J645" t="s">
        <v>41</v>
      </c>
      <c r="K645" t="s">
        <v>19</v>
      </c>
      <c r="L645" s="5">
        <f t="shared" si="10"/>
        <v>6550</v>
      </c>
    </row>
    <row r="646" spans="1:12" x14ac:dyDescent="0.3">
      <c r="A646" t="s">
        <v>1052</v>
      </c>
      <c r="B646" t="s">
        <v>201</v>
      </c>
      <c r="C646" s="2">
        <v>45785</v>
      </c>
      <c r="D646" t="s">
        <v>14</v>
      </c>
      <c r="E646" t="s">
        <v>51</v>
      </c>
      <c r="F646" t="s">
        <v>39</v>
      </c>
      <c r="G646" t="s">
        <v>146</v>
      </c>
      <c r="H646">
        <v>4</v>
      </c>
      <c r="I646">
        <v>6300</v>
      </c>
      <c r="J646" t="s">
        <v>18</v>
      </c>
      <c r="K646" t="s">
        <v>19</v>
      </c>
      <c r="L646" s="5">
        <f t="shared" si="10"/>
        <v>25200</v>
      </c>
    </row>
    <row r="647" spans="1:12" x14ac:dyDescent="0.3">
      <c r="A647" t="s">
        <v>1053</v>
      </c>
      <c r="B647" t="s">
        <v>268</v>
      </c>
      <c r="C647" s="2">
        <v>45724</v>
      </c>
      <c r="D647" t="s">
        <v>14</v>
      </c>
      <c r="E647" t="s">
        <v>22</v>
      </c>
      <c r="F647" t="s">
        <v>23</v>
      </c>
      <c r="G647" t="s">
        <v>24</v>
      </c>
      <c r="H647">
        <v>3</v>
      </c>
      <c r="I647">
        <v>37950</v>
      </c>
      <c r="J647" t="s">
        <v>41</v>
      </c>
      <c r="K647" t="s">
        <v>19</v>
      </c>
      <c r="L647" s="5">
        <f t="shared" si="10"/>
        <v>113850</v>
      </c>
    </row>
    <row r="648" spans="1:12" x14ac:dyDescent="0.3">
      <c r="A648" t="s">
        <v>1054</v>
      </c>
      <c r="B648" t="s">
        <v>624</v>
      </c>
      <c r="C648" s="2">
        <v>45856</v>
      </c>
      <c r="D648" t="s">
        <v>33</v>
      </c>
      <c r="E648" t="s">
        <v>80</v>
      </c>
      <c r="F648" t="s">
        <v>23</v>
      </c>
      <c r="G648" t="s">
        <v>24</v>
      </c>
      <c r="H648">
        <v>1</v>
      </c>
      <c r="I648">
        <v>20650</v>
      </c>
      <c r="J648" t="s">
        <v>41</v>
      </c>
      <c r="K648" t="s">
        <v>19</v>
      </c>
      <c r="L648" s="5">
        <f t="shared" si="10"/>
        <v>20650</v>
      </c>
    </row>
    <row r="649" spans="1:12" x14ac:dyDescent="0.3">
      <c r="A649" t="s">
        <v>1055</v>
      </c>
      <c r="B649" t="s">
        <v>74</v>
      </c>
      <c r="C649" s="2">
        <v>45746</v>
      </c>
      <c r="D649" t="s">
        <v>46</v>
      </c>
      <c r="E649" t="s">
        <v>75</v>
      </c>
      <c r="F649" t="s">
        <v>16</v>
      </c>
      <c r="G649" t="s">
        <v>17</v>
      </c>
      <c r="H649">
        <v>2</v>
      </c>
      <c r="I649">
        <v>2900</v>
      </c>
      <c r="J649" t="s">
        <v>18</v>
      </c>
      <c r="K649" t="s">
        <v>69</v>
      </c>
      <c r="L649" s="5">
        <f t="shared" si="10"/>
        <v>5800</v>
      </c>
    </row>
    <row r="650" spans="1:12" x14ac:dyDescent="0.3">
      <c r="A650" t="s">
        <v>1056</v>
      </c>
      <c r="B650" t="s">
        <v>32</v>
      </c>
      <c r="C650" s="2">
        <v>45823</v>
      </c>
      <c r="D650" t="s">
        <v>46</v>
      </c>
      <c r="E650" t="s">
        <v>75</v>
      </c>
      <c r="F650" t="s">
        <v>16</v>
      </c>
      <c r="G650" t="s">
        <v>143</v>
      </c>
      <c r="H650">
        <v>1</v>
      </c>
      <c r="I650">
        <v>6950</v>
      </c>
      <c r="J650" t="s">
        <v>61</v>
      </c>
      <c r="K650" t="s">
        <v>19</v>
      </c>
      <c r="L650" s="5">
        <f t="shared" si="10"/>
        <v>6950</v>
      </c>
    </row>
    <row r="651" spans="1:12" x14ac:dyDescent="0.3">
      <c r="A651" t="s">
        <v>1057</v>
      </c>
      <c r="B651" t="s">
        <v>451</v>
      </c>
      <c r="C651" s="2">
        <v>45882</v>
      </c>
      <c r="D651" t="s">
        <v>33</v>
      </c>
      <c r="E651" t="s">
        <v>68</v>
      </c>
      <c r="F651" t="s">
        <v>23</v>
      </c>
      <c r="G651" t="s">
        <v>137</v>
      </c>
      <c r="H651">
        <v>1</v>
      </c>
      <c r="I651">
        <v>19750</v>
      </c>
      <c r="J651" t="s">
        <v>41</v>
      </c>
      <c r="K651" t="s">
        <v>25</v>
      </c>
      <c r="L651" s="5">
        <f t="shared" si="10"/>
        <v>19750</v>
      </c>
    </row>
    <row r="652" spans="1:12" x14ac:dyDescent="0.3">
      <c r="A652" t="s">
        <v>1058</v>
      </c>
      <c r="B652" t="s">
        <v>791</v>
      </c>
      <c r="C652" s="2">
        <v>45888</v>
      </c>
      <c r="D652" t="s">
        <v>33</v>
      </c>
      <c r="E652" t="s">
        <v>38</v>
      </c>
      <c r="F652" t="s">
        <v>23</v>
      </c>
      <c r="G652" t="s">
        <v>24</v>
      </c>
      <c r="H652">
        <v>1</v>
      </c>
      <c r="I652">
        <v>34650</v>
      </c>
      <c r="J652" t="s">
        <v>18</v>
      </c>
      <c r="K652" t="s">
        <v>19</v>
      </c>
      <c r="L652" s="5">
        <f t="shared" si="10"/>
        <v>34650</v>
      </c>
    </row>
    <row r="653" spans="1:12" x14ac:dyDescent="0.3">
      <c r="A653" t="s">
        <v>1059</v>
      </c>
      <c r="B653" t="s">
        <v>733</v>
      </c>
      <c r="C653" s="2">
        <v>45695</v>
      </c>
      <c r="D653" t="s">
        <v>14</v>
      </c>
      <c r="E653" t="s">
        <v>22</v>
      </c>
      <c r="F653" t="s">
        <v>39</v>
      </c>
      <c r="G653" t="s">
        <v>52</v>
      </c>
      <c r="H653">
        <v>1</v>
      </c>
      <c r="I653">
        <v>6400</v>
      </c>
      <c r="J653" t="s">
        <v>41</v>
      </c>
      <c r="K653" t="s">
        <v>69</v>
      </c>
      <c r="L653" s="5">
        <f t="shared" si="10"/>
        <v>6400</v>
      </c>
    </row>
    <row r="654" spans="1:12" x14ac:dyDescent="0.3">
      <c r="A654" t="s">
        <v>1060</v>
      </c>
      <c r="B654" t="s">
        <v>742</v>
      </c>
      <c r="C654" s="2">
        <v>45782</v>
      </c>
      <c r="D654" t="s">
        <v>64</v>
      </c>
      <c r="E654" t="s">
        <v>93</v>
      </c>
      <c r="F654" t="s">
        <v>16</v>
      </c>
      <c r="G654" t="s">
        <v>134</v>
      </c>
      <c r="H654">
        <v>2</v>
      </c>
      <c r="I654">
        <v>4200</v>
      </c>
      <c r="J654" t="s">
        <v>41</v>
      </c>
      <c r="K654" t="s">
        <v>69</v>
      </c>
      <c r="L654" s="5">
        <f t="shared" si="10"/>
        <v>8400</v>
      </c>
    </row>
    <row r="655" spans="1:12" x14ac:dyDescent="0.3">
      <c r="A655" t="s">
        <v>1061</v>
      </c>
      <c r="B655" t="s">
        <v>1062</v>
      </c>
      <c r="C655" s="2">
        <v>45678</v>
      </c>
      <c r="D655" t="s">
        <v>33</v>
      </c>
      <c r="E655" t="s">
        <v>34</v>
      </c>
      <c r="F655" t="s">
        <v>23</v>
      </c>
      <c r="G655" t="s">
        <v>140</v>
      </c>
      <c r="H655">
        <v>4</v>
      </c>
      <c r="I655">
        <v>18650</v>
      </c>
      <c r="J655" t="s">
        <v>18</v>
      </c>
      <c r="K655" t="s">
        <v>19</v>
      </c>
      <c r="L655" s="5">
        <f t="shared" si="10"/>
        <v>74600</v>
      </c>
    </row>
    <row r="656" spans="1:12" x14ac:dyDescent="0.3">
      <c r="A656" t="s">
        <v>1063</v>
      </c>
      <c r="B656" t="s">
        <v>331</v>
      </c>
      <c r="C656" s="2">
        <v>45760</v>
      </c>
      <c r="D656" t="s">
        <v>14</v>
      </c>
      <c r="E656" t="s">
        <v>28</v>
      </c>
      <c r="F656" t="s">
        <v>16</v>
      </c>
      <c r="G656" t="s">
        <v>48</v>
      </c>
      <c r="H656">
        <v>3</v>
      </c>
      <c r="I656">
        <v>6200</v>
      </c>
      <c r="J656" t="s">
        <v>41</v>
      </c>
      <c r="K656" t="s">
        <v>19</v>
      </c>
      <c r="L656" s="5">
        <f t="shared" si="10"/>
        <v>18600</v>
      </c>
    </row>
    <row r="657" spans="1:12" x14ac:dyDescent="0.3">
      <c r="A657" t="s">
        <v>1064</v>
      </c>
      <c r="B657" t="s">
        <v>199</v>
      </c>
      <c r="C657" s="2">
        <v>45922</v>
      </c>
      <c r="D657" t="s">
        <v>33</v>
      </c>
      <c r="E657" t="s">
        <v>68</v>
      </c>
      <c r="F657" t="s">
        <v>59</v>
      </c>
      <c r="G657" t="s">
        <v>60</v>
      </c>
      <c r="H657">
        <v>1</v>
      </c>
      <c r="I657">
        <v>1200</v>
      </c>
      <c r="J657" t="s">
        <v>18</v>
      </c>
      <c r="K657" t="s">
        <v>19</v>
      </c>
      <c r="L657" s="5">
        <f t="shared" si="10"/>
        <v>1200</v>
      </c>
    </row>
    <row r="658" spans="1:12" x14ac:dyDescent="0.3">
      <c r="A658" t="s">
        <v>1065</v>
      </c>
      <c r="B658" t="s">
        <v>225</v>
      </c>
      <c r="C658" s="2">
        <v>45834</v>
      </c>
      <c r="D658" t="s">
        <v>64</v>
      </c>
      <c r="E658" t="s">
        <v>93</v>
      </c>
      <c r="F658" t="s">
        <v>16</v>
      </c>
      <c r="G658" t="s">
        <v>134</v>
      </c>
      <c r="H658">
        <v>1</v>
      </c>
      <c r="I658">
        <v>5850</v>
      </c>
      <c r="J658" t="s">
        <v>41</v>
      </c>
      <c r="K658" t="s">
        <v>19</v>
      </c>
      <c r="L658" s="5">
        <f t="shared" si="10"/>
        <v>5850</v>
      </c>
    </row>
    <row r="659" spans="1:12" x14ac:dyDescent="0.3">
      <c r="A659" t="s">
        <v>1066</v>
      </c>
      <c r="B659" t="s">
        <v>314</v>
      </c>
      <c r="C659" s="2">
        <v>45911</v>
      </c>
      <c r="D659" t="s">
        <v>14</v>
      </c>
      <c r="E659" t="s">
        <v>51</v>
      </c>
      <c r="F659" t="s">
        <v>39</v>
      </c>
      <c r="G659" t="s">
        <v>52</v>
      </c>
      <c r="H659">
        <v>2</v>
      </c>
      <c r="I659">
        <v>7600</v>
      </c>
      <c r="J659" t="s">
        <v>18</v>
      </c>
      <c r="K659" t="s">
        <v>19</v>
      </c>
      <c r="L659" s="5">
        <f t="shared" si="10"/>
        <v>15200</v>
      </c>
    </row>
    <row r="660" spans="1:12" x14ac:dyDescent="0.3">
      <c r="A660" t="s">
        <v>1067</v>
      </c>
      <c r="B660" t="s">
        <v>423</v>
      </c>
      <c r="C660" s="2">
        <v>45979</v>
      </c>
      <c r="D660" t="s">
        <v>14</v>
      </c>
      <c r="E660" t="s">
        <v>28</v>
      </c>
      <c r="F660" t="s">
        <v>29</v>
      </c>
      <c r="G660" t="s">
        <v>100</v>
      </c>
      <c r="H660">
        <v>3</v>
      </c>
      <c r="I660">
        <v>7000</v>
      </c>
      <c r="J660" t="s">
        <v>41</v>
      </c>
      <c r="K660" t="s">
        <v>19</v>
      </c>
      <c r="L660" s="5">
        <f t="shared" si="10"/>
        <v>21000</v>
      </c>
    </row>
    <row r="661" spans="1:12" x14ac:dyDescent="0.3">
      <c r="A661" t="s">
        <v>1068</v>
      </c>
      <c r="B661" t="s">
        <v>1069</v>
      </c>
      <c r="C661" s="2">
        <v>45977</v>
      </c>
      <c r="D661" t="s">
        <v>14</v>
      </c>
      <c r="E661" t="s">
        <v>28</v>
      </c>
      <c r="F661" t="s">
        <v>29</v>
      </c>
      <c r="G661" t="s">
        <v>90</v>
      </c>
      <c r="H661">
        <v>4</v>
      </c>
      <c r="I661">
        <v>1450</v>
      </c>
      <c r="J661" t="s">
        <v>18</v>
      </c>
      <c r="K661" t="s">
        <v>19</v>
      </c>
      <c r="L661" s="5">
        <f t="shared" si="10"/>
        <v>5800</v>
      </c>
    </row>
    <row r="662" spans="1:12" x14ac:dyDescent="0.3">
      <c r="A662" t="s">
        <v>1070</v>
      </c>
      <c r="B662" t="s">
        <v>1071</v>
      </c>
      <c r="C662" s="2">
        <v>45750</v>
      </c>
      <c r="D662" t="s">
        <v>64</v>
      </c>
      <c r="E662" t="s">
        <v>99</v>
      </c>
      <c r="F662" t="s">
        <v>16</v>
      </c>
      <c r="G662" t="s">
        <v>81</v>
      </c>
      <c r="H662">
        <v>1</v>
      </c>
      <c r="I662">
        <v>6900</v>
      </c>
      <c r="J662" t="s">
        <v>61</v>
      </c>
      <c r="K662" t="s">
        <v>19</v>
      </c>
      <c r="L662" s="5">
        <f t="shared" si="10"/>
        <v>6900</v>
      </c>
    </row>
    <row r="663" spans="1:12" x14ac:dyDescent="0.3">
      <c r="A663" t="s">
        <v>1072</v>
      </c>
      <c r="B663" t="s">
        <v>861</v>
      </c>
      <c r="C663" s="2">
        <v>45889</v>
      </c>
      <c r="D663" t="s">
        <v>64</v>
      </c>
      <c r="E663" t="s">
        <v>86</v>
      </c>
      <c r="F663" t="s">
        <v>29</v>
      </c>
      <c r="G663" t="s">
        <v>90</v>
      </c>
      <c r="H663">
        <v>1</v>
      </c>
      <c r="I663">
        <v>1800</v>
      </c>
      <c r="J663" t="s">
        <v>18</v>
      </c>
      <c r="K663" t="s">
        <v>19</v>
      </c>
      <c r="L663" s="5">
        <f t="shared" si="10"/>
        <v>1800</v>
      </c>
    </row>
    <row r="664" spans="1:12" x14ac:dyDescent="0.3">
      <c r="A664" t="s">
        <v>1073</v>
      </c>
      <c r="B664" t="s">
        <v>975</v>
      </c>
      <c r="C664" s="2">
        <v>45747</v>
      </c>
      <c r="D664" t="s">
        <v>14</v>
      </c>
      <c r="E664" t="s">
        <v>28</v>
      </c>
      <c r="F664" t="s">
        <v>23</v>
      </c>
      <c r="G664" t="s">
        <v>140</v>
      </c>
      <c r="H664">
        <v>1</v>
      </c>
      <c r="I664">
        <v>53400</v>
      </c>
      <c r="J664" t="s">
        <v>18</v>
      </c>
      <c r="K664" t="s">
        <v>19</v>
      </c>
      <c r="L664" s="5">
        <f t="shared" si="10"/>
        <v>53400</v>
      </c>
    </row>
    <row r="665" spans="1:12" x14ac:dyDescent="0.3">
      <c r="A665" t="s">
        <v>1074</v>
      </c>
      <c r="B665" t="s">
        <v>1075</v>
      </c>
      <c r="C665" s="2">
        <v>45940</v>
      </c>
      <c r="D665" t="s">
        <v>64</v>
      </c>
      <c r="E665" t="s">
        <v>65</v>
      </c>
      <c r="F665" t="s">
        <v>16</v>
      </c>
      <c r="G665" t="s">
        <v>143</v>
      </c>
      <c r="H665">
        <v>2</v>
      </c>
      <c r="I665">
        <v>6500</v>
      </c>
      <c r="J665" t="s">
        <v>61</v>
      </c>
      <c r="K665" t="s">
        <v>19</v>
      </c>
      <c r="L665" s="5">
        <f t="shared" si="10"/>
        <v>13000</v>
      </c>
    </row>
    <row r="666" spans="1:12" x14ac:dyDescent="0.3">
      <c r="A666" t="s">
        <v>1076</v>
      </c>
      <c r="B666" t="s">
        <v>124</v>
      </c>
      <c r="C666" s="2">
        <v>45724</v>
      </c>
      <c r="D666" t="s">
        <v>64</v>
      </c>
      <c r="E666" t="s">
        <v>99</v>
      </c>
      <c r="F666" t="s">
        <v>29</v>
      </c>
      <c r="G666" t="s">
        <v>90</v>
      </c>
      <c r="H666">
        <v>1</v>
      </c>
      <c r="I666">
        <v>5100</v>
      </c>
      <c r="J666" t="s">
        <v>41</v>
      </c>
      <c r="K666" t="s">
        <v>19</v>
      </c>
      <c r="L666" s="5">
        <f t="shared" si="10"/>
        <v>5100</v>
      </c>
    </row>
    <row r="667" spans="1:12" x14ac:dyDescent="0.3">
      <c r="A667" t="s">
        <v>1077</v>
      </c>
      <c r="B667" t="s">
        <v>276</v>
      </c>
      <c r="C667" s="2">
        <v>45760</v>
      </c>
      <c r="D667" t="s">
        <v>64</v>
      </c>
      <c r="E667" t="s">
        <v>86</v>
      </c>
      <c r="F667" t="s">
        <v>29</v>
      </c>
      <c r="G667" t="s">
        <v>90</v>
      </c>
      <c r="H667">
        <v>2</v>
      </c>
      <c r="I667">
        <v>950</v>
      </c>
      <c r="J667" t="s">
        <v>61</v>
      </c>
      <c r="K667" t="s">
        <v>19</v>
      </c>
      <c r="L667" s="5">
        <f t="shared" si="10"/>
        <v>1900</v>
      </c>
    </row>
    <row r="668" spans="1:12" x14ac:dyDescent="0.3">
      <c r="A668" t="s">
        <v>1078</v>
      </c>
      <c r="B668" t="s">
        <v>910</v>
      </c>
      <c r="C668" s="2">
        <v>45703</v>
      </c>
      <c r="D668" t="s">
        <v>64</v>
      </c>
      <c r="E668" t="s">
        <v>99</v>
      </c>
      <c r="F668" t="s">
        <v>39</v>
      </c>
      <c r="G668" t="s">
        <v>44</v>
      </c>
      <c r="H668">
        <v>1</v>
      </c>
      <c r="I668">
        <v>4600</v>
      </c>
      <c r="J668" t="s">
        <v>115</v>
      </c>
      <c r="K668" t="s">
        <v>19</v>
      </c>
      <c r="L668" s="5">
        <f t="shared" si="10"/>
        <v>4600</v>
      </c>
    </row>
    <row r="669" spans="1:12" x14ac:dyDescent="0.3">
      <c r="A669" t="s">
        <v>1079</v>
      </c>
      <c r="B669" t="s">
        <v>299</v>
      </c>
      <c r="C669" s="2">
        <v>45716</v>
      </c>
      <c r="D669" t="s">
        <v>14</v>
      </c>
      <c r="E669" t="s">
        <v>51</v>
      </c>
      <c r="F669" t="s">
        <v>59</v>
      </c>
      <c r="G669" t="s">
        <v>228</v>
      </c>
      <c r="H669">
        <v>1</v>
      </c>
      <c r="I669">
        <v>1200</v>
      </c>
      <c r="J669" t="s">
        <v>35</v>
      </c>
      <c r="K669" t="s">
        <v>19</v>
      </c>
      <c r="L669" s="5">
        <f t="shared" si="10"/>
        <v>1200</v>
      </c>
    </row>
    <row r="670" spans="1:12" x14ac:dyDescent="0.3">
      <c r="A670" t="s">
        <v>1080</v>
      </c>
      <c r="B670" t="s">
        <v>1081</v>
      </c>
      <c r="C670" s="2">
        <v>45732</v>
      </c>
      <c r="D670" t="s">
        <v>14</v>
      </c>
      <c r="E670" t="s">
        <v>51</v>
      </c>
      <c r="F670" t="s">
        <v>29</v>
      </c>
      <c r="G670" t="s">
        <v>100</v>
      </c>
      <c r="H670">
        <v>1</v>
      </c>
      <c r="I670">
        <v>6150</v>
      </c>
      <c r="J670" t="s">
        <v>41</v>
      </c>
      <c r="K670" t="s">
        <v>19</v>
      </c>
      <c r="L670" s="5">
        <f t="shared" si="10"/>
        <v>6150</v>
      </c>
    </row>
    <row r="671" spans="1:12" x14ac:dyDescent="0.3">
      <c r="A671" t="s">
        <v>1082</v>
      </c>
      <c r="B671" t="s">
        <v>21</v>
      </c>
      <c r="C671" s="2">
        <v>46014</v>
      </c>
      <c r="D671" t="s">
        <v>14</v>
      </c>
      <c r="E671" t="s">
        <v>28</v>
      </c>
      <c r="F671" t="s">
        <v>16</v>
      </c>
      <c r="G671" t="s">
        <v>143</v>
      </c>
      <c r="H671">
        <v>1</v>
      </c>
      <c r="I671">
        <v>7550</v>
      </c>
      <c r="J671" t="s">
        <v>18</v>
      </c>
      <c r="K671" t="s">
        <v>69</v>
      </c>
      <c r="L671" s="5">
        <f t="shared" si="10"/>
        <v>7550</v>
      </c>
    </row>
    <row r="672" spans="1:12" x14ac:dyDescent="0.3">
      <c r="A672" t="s">
        <v>1083</v>
      </c>
      <c r="B672" t="s">
        <v>1084</v>
      </c>
      <c r="C672" s="2">
        <v>45658</v>
      </c>
      <c r="D672" t="s">
        <v>46</v>
      </c>
      <c r="E672" t="s">
        <v>72</v>
      </c>
      <c r="F672" t="s">
        <v>39</v>
      </c>
      <c r="G672" t="s">
        <v>40</v>
      </c>
      <c r="H672">
        <v>2</v>
      </c>
      <c r="I672">
        <v>2600</v>
      </c>
      <c r="J672" t="s">
        <v>35</v>
      </c>
      <c r="K672" t="s">
        <v>19</v>
      </c>
      <c r="L672" s="5">
        <f t="shared" si="10"/>
        <v>5200</v>
      </c>
    </row>
    <row r="673" spans="1:12" x14ac:dyDescent="0.3">
      <c r="A673" t="s">
        <v>1085</v>
      </c>
      <c r="B673" t="s">
        <v>560</v>
      </c>
      <c r="C673" s="2">
        <v>45785</v>
      </c>
      <c r="D673" t="s">
        <v>14</v>
      </c>
      <c r="E673" t="s">
        <v>22</v>
      </c>
      <c r="F673" t="s">
        <v>16</v>
      </c>
      <c r="G673" t="s">
        <v>81</v>
      </c>
      <c r="H673">
        <v>2</v>
      </c>
      <c r="I673">
        <v>3200</v>
      </c>
      <c r="J673" t="s">
        <v>41</v>
      </c>
      <c r="K673" t="s">
        <v>19</v>
      </c>
      <c r="L673" s="5">
        <f t="shared" si="10"/>
        <v>6400</v>
      </c>
    </row>
    <row r="674" spans="1:12" x14ac:dyDescent="0.3">
      <c r="A674" t="s">
        <v>1086</v>
      </c>
      <c r="B674" t="s">
        <v>624</v>
      </c>
      <c r="C674" s="2">
        <v>45826</v>
      </c>
      <c r="D674" t="s">
        <v>64</v>
      </c>
      <c r="E674" t="s">
        <v>99</v>
      </c>
      <c r="F674" t="s">
        <v>16</v>
      </c>
      <c r="G674" t="s">
        <v>81</v>
      </c>
      <c r="H674">
        <v>1</v>
      </c>
      <c r="I674">
        <v>1100</v>
      </c>
      <c r="J674" t="s">
        <v>115</v>
      </c>
      <c r="K674" t="s">
        <v>127</v>
      </c>
      <c r="L674" s="5">
        <f t="shared" si="10"/>
        <v>1100</v>
      </c>
    </row>
    <row r="675" spans="1:12" x14ac:dyDescent="0.3">
      <c r="A675" t="s">
        <v>1087</v>
      </c>
      <c r="B675" t="s">
        <v>603</v>
      </c>
      <c r="C675" s="2">
        <v>45993</v>
      </c>
      <c r="D675" t="s">
        <v>64</v>
      </c>
      <c r="E675" t="s">
        <v>65</v>
      </c>
      <c r="F675" t="s">
        <v>16</v>
      </c>
      <c r="G675" t="s">
        <v>48</v>
      </c>
      <c r="H675">
        <v>1</v>
      </c>
      <c r="I675">
        <v>750</v>
      </c>
      <c r="J675" t="s">
        <v>18</v>
      </c>
      <c r="K675" t="s">
        <v>19</v>
      </c>
      <c r="L675" s="5">
        <f t="shared" si="10"/>
        <v>750</v>
      </c>
    </row>
    <row r="676" spans="1:12" x14ac:dyDescent="0.3">
      <c r="A676" t="s">
        <v>1088</v>
      </c>
      <c r="B676" t="s">
        <v>361</v>
      </c>
      <c r="C676" s="2">
        <v>45756</v>
      </c>
      <c r="D676" t="s">
        <v>46</v>
      </c>
      <c r="E676" t="s">
        <v>47</v>
      </c>
      <c r="F676" t="s">
        <v>29</v>
      </c>
      <c r="G676" t="s">
        <v>96</v>
      </c>
      <c r="H676">
        <v>1</v>
      </c>
      <c r="I676">
        <v>3000</v>
      </c>
      <c r="J676" t="s">
        <v>18</v>
      </c>
      <c r="K676" t="s">
        <v>19</v>
      </c>
      <c r="L676" s="5">
        <f t="shared" si="10"/>
        <v>3000</v>
      </c>
    </row>
    <row r="677" spans="1:12" x14ac:dyDescent="0.3">
      <c r="A677" t="s">
        <v>1089</v>
      </c>
      <c r="B677" t="s">
        <v>1090</v>
      </c>
      <c r="C677" s="2">
        <v>45797</v>
      </c>
      <c r="D677" t="s">
        <v>14</v>
      </c>
      <c r="E677" t="s">
        <v>15</v>
      </c>
      <c r="F677" t="s">
        <v>23</v>
      </c>
      <c r="G677" t="s">
        <v>193</v>
      </c>
      <c r="H677">
        <v>1</v>
      </c>
      <c r="I677">
        <v>18400</v>
      </c>
      <c r="J677" t="s">
        <v>61</v>
      </c>
      <c r="K677" t="s">
        <v>127</v>
      </c>
      <c r="L677" s="5">
        <f t="shared" si="10"/>
        <v>18400</v>
      </c>
    </row>
    <row r="678" spans="1:12" x14ac:dyDescent="0.3">
      <c r="A678" t="s">
        <v>1091</v>
      </c>
      <c r="B678" t="s">
        <v>1092</v>
      </c>
      <c r="C678" s="2">
        <v>45794</v>
      </c>
      <c r="D678" t="s">
        <v>14</v>
      </c>
      <c r="E678" t="s">
        <v>51</v>
      </c>
      <c r="F678" t="s">
        <v>16</v>
      </c>
      <c r="G678" t="s">
        <v>134</v>
      </c>
      <c r="H678">
        <v>1</v>
      </c>
      <c r="I678">
        <v>1100</v>
      </c>
      <c r="J678" t="s">
        <v>115</v>
      </c>
      <c r="K678" t="s">
        <v>25</v>
      </c>
      <c r="L678" s="5">
        <f t="shared" si="10"/>
        <v>1100</v>
      </c>
    </row>
    <row r="679" spans="1:12" x14ac:dyDescent="0.3">
      <c r="A679" t="s">
        <v>1093</v>
      </c>
      <c r="B679" t="s">
        <v>691</v>
      </c>
      <c r="C679" s="2">
        <v>45777</v>
      </c>
      <c r="D679" t="s">
        <v>14</v>
      </c>
      <c r="E679" t="s">
        <v>51</v>
      </c>
      <c r="F679" t="s">
        <v>29</v>
      </c>
      <c r="G679" t="s">
        <v>30</v>
      </c>
      <c r="H679">
        <v>1</v>
      </c>
      <c r="I679">
        <v>2450</v>
      </c>
      <c r="J679" t="s">
        <v>18</v>
      </c>
      <c r="K679" t="s">
        <v>19</v>
      </c>
      <c r="L679" s="5">
        <f t="shared" si="10"/>
        <v>2450</v>
      </c>
    </row>
    <row r="680" spans="1:12" x14ac:dyDescent="0.3">
      <c r="A680" t="s">
        <v>1094</v>
      </c>
      <c r="B680" t="s">
        <v>1095</v>
      </c>
      <c r="C680" s="2">
        <v>45719</v>
      </c>
      <c r="D680" t="s">
        <v>14</v>
      </c>
      <c r="E680" t="s">
        <v>22</v>
      </c>
      <c r="F680" t="s">
        <v>59</v>
      </c>
      <c r="G680" t="s">
        <v>163</v>
      </c>
      <c r="H680">
        <v>3</v>
      </c>
      <c r="I680">
        <v>900</v>
      </c>
      <c r="J680" t="s">
        <v>18</v>
      </c>
      <c r="K680" t="s">
        <v>19</v>
      </c>
      <c r="L680" s="5">
        <f t="shared" si="10"/>
        <v>2700</v>
      </c>
    </row>
    <row r="681" spans="1:12" x14ac:dyDescent="0.3">
      <c r="A681" t="s">
        <v>1096</v>
      </c>
      <c r="B681" t="s">
        <v>242</v>
      </c>
      <c r="C681" s="2">
        <v>46010</v>
      </c>
      <c r="D681" t="s">
        <v>33</v>
      </c>
      <c r="E681" t="s">
        <v>38</v>
      </c>
      <c r="F681" t="s">
        <v>23</v>
      </c>
      <c r="G681" t="s">
        <v>137</v>
      </c>
      <c r="H681">
        <v>3</v>
      </c>
      <c r="I681">
        <v>18050</v>
      </c>
      <c r="J681" t="s">
        <v>115</v>
      </c>
      <c r="K681" t="s">
        <v>19</v>
      </c>
      <c r="L681" s="5">
        <f t="shared" si="10"/>
        <v>54150</v>
      </c>
    </row>
    <row r="682" spans="1:12" x14ac:dyDescent="0.3">
      <c r="A682" t="s">
        <v>1097</v>
      </c>
      <c r="B682" t="s">
        <v>348</v>
      </c>
      <c r="C682" s="2">
        <v>45946</v>
      </c>
      <c r="D682" t="s">
        <v>14</v>
      </c>
      <c r="E682" t="s">
        <v>22</v>
      </c>
      <c r="F682" t="s">
        <v>39</v>
      </c>
      <c r="G682" t="s">
        <v>52</v>
      </c>
      <c r="H682">
        <v>1</v>
      </c>
      <c r="I682">
        <v>8050</v>
      </c>
      <c r="J682" t="s">
        <v>115</v>
      </c>
      <c r="K682" t="s">
        <v>25</v>
      </c>
      <c r="L682" s="5">
        <f t="shared" si="10"/>
        <v>8050</v>
      </c>
    </row>
    <row r="683" spans="1:12" x14ac:dyDescent="0.3">
      <c r="A683" t="s">
        <v>1098</v>
      </c>
      <c r="B683" t="s">
        <v>421</v>
      </c>
      <c r="C683" s="2">
        <v>45725</v>
      </c>
      <c r="D683" t="s">
        <v>14</v>
      </c>
      <c r="E683" t="s">
        <v>28</v>
      </c>
      <c r="F683" t="s">
        <v>16</v>
      </c>
      <c r="G683" t="s">
        <v>48</v>
      </c>
      <c r="H683">
        <v>1</v>
      </c>
      <c r="I683">
        <v>2050</v>
      </c>
      <c r="J683" t="s">
        <v>18</v>
      </c>
      <c r="K683" t="s">
        <v>19</v>
      </c>
      <c r="L683" s="5">
        <f t="shared" si="10"/>
        <v>2050</v>
      </c>
    </row>
    <row r="684" spans="1:12" x14ac:dyDescent="0.3">
      <c r="A684" t="s">
        <v>1099</v>
      </c>
      <c r="B684" t="s">
        <v>573</v>
      </c>
      <c r="C684" s="2">
        <v>45688</v>
      </c>
      <c r="D684" t="s">
        <v>46</v>
      </c>
      <c r="E684" t="s">
        <v>72</v>
      </c>
      <c r="F684" t="s">
        <v>16</v>
      </c>
      <c r="G684" t="s">
        <v>17</v>
      </c>
      <c r="H684">
        <v>1</v>
      </c>
      <c r="I684">
        <v>7450</v>
      </c>
      <c r="J684" t="s">
        <v>18</v>
      </c>
      <c r="K684" t="s">
        <v>19</v>
      </c>
      <c r="L684" s="5">
        <f t="shared" si="10"/>
        <v>7450</v>
      </c>
    </row>
    <row r="685" spans="1:12" x14ac:dyDescent="0.3">
      <c r="A685" t="s">
        <v>1100</v>
      </c>
      <c r="B685" t="s">
        <v>952</v>
      </c>
      <c r="C685" s="2">
        <v>45819</v>
      </c>
      <c r="D685" t="s">
        <v>14</v>
      </c>
      <c r="E685" t="s">
        <v>51</v>
      </c>
      <c r="F685" t="s">
        <v>29</v>
      </c>
      <c r="G685" t="s">
        <v>90</v>
      </c>
      <c r="H685">
        <v>1</v>
      </c>
      <c r="I685">
        <v>6800</v>
      </c>
      <c r="J685" t="s">
        <v>35</v>
      </c>
      <c r="K685" t="s">
        <v>19</v>
      </c>
      <c r="L685" s="5">
        <f t="shared" si="10"/>
        <v>6800</v>
      </c>
    </row>
    <row r="686" spans="1:12" x14ac:dyDescent="0.3">
      <c r="A686" t="s">
        <v>1101</v>
      </c>
      <c r="B686" t="s">
        <v>295</v>
      </c>
      <c r="C686" s="2">
        <v>45955</v>
      </c>
      <c r="D686" t="s">
        <v>46</v>
      </c>
      <c r="E686" t="s">
        <v>47</v>
      </c>
      <c r="F686" t="s">
        <v>29</v>
      </c>
      <c r="G686" t="s">
        <v>96</v>
      </c>
      <c r="H686">
        <v>3</v>
      </c>
      <c r="I686">
        <v>5250</v>
      </c>
      <c r="J686" t="s">
        <v>18</v>
      </c>
      <c r="K686" t="s">
        <v>19</v>
      </c>
      <c r="L686" s="5">
        <f t="shared" si="10"/>
        <v>15750</v>
      </c>
    </row>
    <row r="687" spans="1:12" x14ac:dyDescent="0.3">
      <c r="A687" t="s">
        <v>1102</v>
      </c>
      <c r="B687" t="s">
        <v>1103</v>
      </c>
      <c r="C687" s="2">
        <v>45935</v>
      </c>
      <c r="D687" t="s">
        <v>64</v>
      </c>
      <c r="E687" t="s">
        <v>93</v>
      </c>
      <c r="F687" t="s">
        <v>59</v>
      </c>
      <c r="G687" t="s">
        <v>228</v>
      </c>
      <c r="H687">
        <v>1</v>
      </c>
      <c r="I687">
        <v>4550</v>
      </c>
      <c r="J687" t="s">
        <v>35</v>
      </c>
      <c r="K687" t="s">
        <v>19</v>
      </c>
      <c r="L687" s="5">
        <f t="shared" si="10"/>
        <v>4550</v>
      </c>
    </row>
    <row r="688" spans="1:12" x14ac:dyDescent="0.3">
      <c r="A688" t="s">
        <v>1104</v>
      </c>
      <c r="B688" t="s">
        <v>374</v>
      </c>
      <c r="C688" s="2">
        <v>45938</v>
      </c>
      <c r="D688" t="s">
        <v>14</v>
      </c>
      <c r="E688" t="s">
        <v>51</v>
      </c>
      <c r="F688" t="s">
        <v>23</v>
      </c>
      <c r="G688" t="s">
        <v>193</v>
      </c>
      <c r="H688">
        <v>2</v>
      </c>
      <c r="I688">
        <v>21300</v>
      </c>
      <c r="J688" t="s">
        <v>18</v>
      </c>
      <c r="K688" t="s">
        <v>25</v>
      </c>
      <c r="L688" s="5">
        <f t="shared" si="10"/>
        <v>42600</v>
      </c>
    </row>
    <row r="689" spans="1:12" x14ac:dyDescent="0.3">
      <c r="A689" t="s">
        <v>1105</v>
      </c>
      <c r="B689" t="s">
        <v>188</v>
      </c>
      <c r="C689" s="2">
        <v>45827</v>
      </c>
      <c r="D689" t="s">
        <v>64</v>
      </c>
      <c r="E689" t="s">
        <v>65</v>
      </c>
      <c r="F689" t="s">
        <v>29</v>
      </c>
      <c r="G689" t="s">
        <v>96</v>
      </c>
      <c r="H689">
        <v>4</v>
      </c>
      <c r="I689">
        <v>5650</v>
      </c>
      <c r="J689" t="s">
        <v>35</v>
      </c>
      <c r="K689" t="s">
        <v>19</v>
      </c>
      <c r="L689" s="5">
        <f t="shared" si="10"/>
        <v>22600</v>
      </c>
    </row>
    <row r="690" spans="1:12" x14ac:dyDescent="0.3">
      <c r="A690" t="s">
        <v>1106</v>
      </c>
      <c r="B690" t="s">
        <v>1107</v>
      </c>
      <c r="C690" s="2">
        <v>45669</v>
      </c>
      <c r="D690" t="s">
        <v>64</v>
      </c>
      <c r="E690" t="s">
        <v>93</v>
      </c>
      <c r="F690" t="s">
        <v>59</v>
      </c>
      <c r="G690" t="s">
        <v>228</v>
      </c>
      <c r="H690">
        <v>1</v>
      </c>
      <c r="I690">
        <v>4400</v>
      </c>
      <c r="J690" t="s">
        <v>115</v>
      </c>
      <c r="K690" t="s">
        <v>19</v>
      </c>
      <c r="L690" s="5">
        <f t="shared" si="10"/>
        <v>4400</v>
      </c>
    </row>
    <row r="691" spans="1:12" x14ac:dyDescent="0.3">
      <c r="A691" t="s">
        <v>1108</v>
      </c>
      <c r="B691" t="s">
        <v>483</v>
      </c>
      <c r="C691" s="2">
        <v>45936</v>
      </c>
      <c r="D691" t="s">
        <v>64</v>
      </c>
      <c r="E691" t="s">
        <v>99</v>
      </c>
      <c r="F691" t="s">
        <v>16</v>
      </c>
      <c r="G691" t="s">
        <v>48</v>
      </c>
      <c r="H691">
        <v>2</v>
      </c>
      <c r="I691">
        <v>5300</v>
      </c>
      <c r="J691" t="s">
        <v>35</v>
      </c>
      <c r="K691" t="s">
        <v>19</v>
      </c>
      <c r="L691" s="5">
        <f t="shared" si="10"/>
        <v>10600</v>
      </c>
    </row>
    <row r="692" spans="1:12" x14ac:dyDescent="0.3">
      <c r="A692" t="s">
        <v>1109</v>
      </c>
      <c r="B692" t="s">
        <v>67</v>
      </c>
      <c r="C692" s="2">
        <v>45791</v>
      </c>
      <c r="D692" t="s">
        <v>14</v>
      </c>
      <c r="E692" t="s">
        <v>22</v>
      </c>
      <c r="F692" t="s">
        <v>23</v>
      </c>
      <c r="G692" t="s">
        <v>193</v>
      </c>
      <c r="H692">
        <v>2</v>
      </c>
      <c r="I692">
        <v>59300</v>
      </c>
      <c r="J692" t="s">
        <v>41</v>
      </c>
      <c r="K692" t="s">
        <v>19</v>
      </c>
      <c r="L692" s="5">
        <f t="shared" si="10"/>
        <v>118600</v>
      </c>
    </row>
    <row r="693" spans="1:12" x14ac:dyDescent="0.3">
      <c r="A693" t="s">
        <v>1110</v>
      </c>
      <c r="B693" t="s">
        <v>1111</v>
      </c>
      <c r="C693" s="2">
        <v>45727</v>
      </c>
      <c r="D693" t="s">
        <v>64</v>
      </c>
      <c r="E693" t="s">
        <v>93</v>
      </c>
      <c r="F693" t="s">
        <v>59</v>
      </c>
      <c r="G693" t="s">
        <v>322</v>
      </c>
      <c r="H693">
        <v>2</v>
      </c>
      <c r="I693">
        <v>3650</v>
      </c>
      <c r="J693" t="s">
        <v>18</v>
      </c>
      <c r="K693" t="s">
        <v>19</v>
      </c>
      <c r="L693" s="5">
        <f t="shared" si="10"/>
        <v>7300</v>
      </c>
    </row>
    <row r="694" spans="1:12" x14ac:dyDescent="0.3">
      <c r="A694" t="s">
        <v>1112</v>
      </c>
      <c r="B694" t="s">
        <v>133</v>
      </c>
      <c r="C694" s="2">
        <v>45798</v>
      </c>
      <c r="D694" t="s">
        <v>33</v>
      </c>
      <c r="E694" t="s">
        <v>68</v>
      </c>
      <c r="F694" t="s">
        <v>39</v>
      </c>
      <c r="G694" t="s">
        <v>40</v>
      </c>
      <c r="H694">
        <v>3</v>
      </c>
      <c r="I694">
        <v>6550</v>
      </c>
      <c r="J694" t="s">
        <v>41</v>
      </c>
      <c r="K694" t="s">
        <v>19</v>
      </c>
      <c r="L694" s="5">
        <f t="shared" si="10"/>
        <v>19650</v>
      </c>
    </row>
    <row r="695" spans="1:12" x14ac:dyDescent="0.3">
      <c r="A695" t="s">
        <v>1113</v>
      </c>
      <c r="B695" t="s">
        <v>1111</v>
      </c>
      <c r="C695" s="2">
        <v>45691</v>
      </c>
      <c r="D695" t="s">
        <v>64</v>
      </c>
      <c r="E695" t="s">
        <v>93</v>
      </c>
      <c r="F695" t="s">
        <v>16</v>
      </c>
      <c r="G695" t="s">
        <v>48</v>
      </c>
      <c r="H695">
        <v>1</v>
      </c>
      <c r="I695">
        <v>700</v>
      </c>
      <c r="J695" t="s">
        <v>61</v>
      </c>
      <c r="K695" t="s">
        <v>69</v>
      </c>
      <c r="L695" s="5">
        <f t="shared" si="10"/>
        <v>700</v>
      </c>
    </row>
    <row r="696" spans="1:12" x14ac:dyDescent="0.3">
      <c r="A696" t="s">
        <v>1114</v>
      </c>
      <c r="B696" t="s">
        <v>883</v>
      </c>
      <c r="C696" s="2">
        <v>45760</v>
      </c>
      <c r="D696" t="s">
        <v>14</v>
      </c>
      <c r="E696" t="s">
        <v>15</v>
      </c>
      <c r="F696" t="s">
        <v>23</v>
      </c>
      <c r="G696" t="s">
        <v>24</v>
      </c>
      <c r="H696">
        <v>1</v>
      </c>
      <c r="I696">
        <v>55700</v>
      </c>
      <c r="J696" t="s">
        <v>35</v>
      </c>
      <c r="K696" t="s">
        <v>19</v>
      </c>
      <c r="L696" s="5">
        <f t="shared" si="10"/>
        <v>55700</v>
      </c>
    </row>
    <row r="697" spans="1:12" x14ac:dyDescent="0.3">
      <c r="A697" t="s">
        <v>1115</v>
      </c>
      <c r="B697" t="s">
        <v>447</v>
      </c>
      <c r="C697" s="2">
        <v>45867</v>
      </c>
      <c r="D697" t="s">
        <v>64</v>
      </c>
      <c r="E697" t="s">
        <v>93</v>
      </c>
      <c r="F697" t="s">
        <v>16</v>
      </c>
      <c r="G697" t="s">
        <v>134</v>
      </c>
      <c r="H697">
        <v>1</v>
      </c>
      <c r="I697">
        <v>2800</v>
      </c>
      <c r="J697" t="s">
        <v>115</v>
      </c>
      <c r="K697" t="s">
        <v>19</v>
      </c>
      <c r="L697" s="5">
        <f t="shared" si="10"/>
        <v>2800</v>
      </c>
    </row>
    <row r="698" spans="1:12" x14ac:dyDescent="0.3">
      <c r="A698" t="s">
        <v>1116</v>
      </c>
      <c r="B698" t="s">
        <v>1117</v>
      </c>
      <c r="C698" s="2">
        <v>45831</v>
      </c>
      <c r="D698" t="s">
        <v>14</v>
      </c>
      <c r="E698" t="s">
        <v>51</v>
      </c>
      <c r="F698" t="s">
        <v>23</v>
      </c>
      <c r="G698" t="s">
        <v>56</v>
      </c>
      <c r="H698">
        <v>1</v>
      </c>
      <c r="I698">
        <v>26850</v>
      </c>
      <c r="J698" t="s">
        <v>41</v>
      </c>
      <c r="K698" t="s">
        <v>25</v>
      </c>
      <c r="L698" s="5">
        <f t="shared" si="10"/>
        <v>26850</v>
      </c>
    </row>
    <row r="699" spans="1:12" x14ac:dyDescent="0.3">
      <c r="A699" t="s">
        <v>1118</v>
      </c>
      <c r="B699" t="s">
        <v>410</v>
      </c>
      <c r="C699" s="2">
        <v>45809</v>
      </c>
      <c r="D699" t="s">
        <v>14</v>
      </c>
      <c r="E699" t="s">
        <v>51</v>
      </c>
      <c r="F699" t="s">
        <v>39</v>
      </c>
      <c r="G699" t="s">
        <v>44</v>
      </c>
      <c r="H699">
        <v>3</v>
      </c>
      <c r="I699">
        <v>700</v>
      </c>
      <c r="J699" t="s">
        <v>115</v>
      </c>
      <c r="K699" t="s">
        <v>19</v>
      </c>
      <c r="L699" s="5">
        <f t="shared" si="10"/>
        <v>2100</v>
      </c>
    </row>
    <row r="700" spans="1:12" x14ac:dyDescent="0.3">
      <c r="A700" t="s">
        <v>1119</v>
      </c>
      <c r="B700" t="s">
        <v>324</v>
      </c>
      <c r="C700" s="2">
        <v>46003</v>
      </c>
      <c r="D700" t="s">
        <v>33</v>
      </c>
      <c r="E700" t="s">
        <v>80</v>
      </c>
      <c r="F700" t="s">
        <v>23</v>
      </c>
      <c r="G700" t="s">
        <v>24</v>
      </c>
      <c r="H700">
        <v>3</v>
      </c>
      <c r="I700">
        <v>10950</v>
      </c>
      <c r="J700" t="s">
        <v>35</v>
      </c>
      <c r="K700" t="s">
        <v>19</v>
      </c>
      <c r="L700" s="5">
        <f t="shared" si="10"/>
        <v>32850</v>
      </c>
    </row>
    <row r="701" spans="1:12" x14ac:dyDescent="0.3">
      <c r="A701" t="s">
        <v>1120</v>
      </c>
      <c r="B701" t="s">
        <v>549</v>
      </c>
      <c r="C701" s="2">
        <v>45674</v>
      </c>
      <c r="D701" t="s">
        <v>64</v>
      </c>
      <c r="E701" t="s">
        <v>99</v>
      </c>
      <c r="F701" t="s">
        <v>39</v>
      </c>
      <c r="G701" t="s">
        <v>52</v>
      </c>
      <c r="H701">
        <v>1</v>
      </c>
      <c r="I701">
        <v>8500</v>
      </c>
      <c r="J701" t="s">
        <v>41</v>
      </c>
      <c r="K701" t="s">
        <v>19</v>
      </c>
      <c r="L701" s="5">
        <f t="shared" si="10"/>
        <v>8500</v>
      </c>
    </row>
    <row r="702" spans="1:12" x14ac:dyDescent="0.3">
      <c r="A702" t="s">
        <v>1121</v>
      </c>
      <c r="B702" t="s">
        <v>199</v>
      </c>
      <c r="C702" s="2">
        <v>45742</v>
      </c>
      <c r="D702" t="s">
        <v>46</v>
      </c>
      <c r="E702" t="s">
        <v>55</v>
      </c>
      <c r="F702" t="s">
        <v>39</v>
      </c>
      <c r="G702" t="s">
        <v>40</v>
      </c>
      <c r="H702">
        <v>1</v>
      </c>
      <c r="I702">
        <v>8250</v>
      </c>
      <c r="J702" t="s">
        <v>41</v>
      </c>
      <c r="K702" t="s">
        <v>25</v>
      </c>
      <c r="L702" s="5">
        <f t="shared" si="10"/>
        <v>8250</v>
      </c>
    </row>
    <row r="703" spans="1:12" x14ac:dyDescent="0.3">
      <c r="A703" t="s">
        <v>1122</v>
      </c>
      <c r="B703" t="s">
        <v>179</v>
      </c>
      <c r="C703" s="2">
        <v>45688</v>
      </c>
      <c r="D703" t="s">
        <v>33</v>
      </c>
      <c r="E703" t="s">
        <v>38</v>
      </c>
      <c r="F703" t="s">
        <v>39</v>
      </c>
      <c r="G703" t="s">
        <v>87</v>
      </c>
      <c r="H703">
        <v>2</v>
      </c>
      <c r="I703">
        <v>5600</v>
      </c>
      <c r="J703" t="s">
        <v>35</v>
      </c>
      <c r="K703" t="s">
        <v>19</v>
      </c>
      <c r="L703" s="5">
        <f t="shared" si="10"/>
        <v>11200</v>
      </c>
    </row>
    <row r="704" spans="1:12" x14ac:dyDescent="0.3">
      <c r="A704" t="s">
        <v>1123</v>
      </c>
      <c r="B704" t="s">
        <v>427</v>
      </c>
      <c r="C704" s="2">
        <v>45998</v>
      </c>
      <c r="D704" t="s">
        <v>14</v>
      </c>
      <c r="E704" t="s">
        <v>51</v>
      </c>
      <c r="F704" t="s">
        <v>29</v>
      </c>
      <c r="G704" t="s">
        <v>100</v>
      </c>
      <c r="H704">
        <v>1</v>
      </c>
      <c r="I704">
        <v>500</v>
      </c>
      <c r="J704" t="s">
        <v>41</v>
      </c>
      <c r="K704" t="s">
        <v>19</v>
      </c>
      <c r="L704" s="5">
        <f t="shared" si="10"/>
        <v>500</v>
      </c>
    </row>
    <row r="705" spans="1:12" x14ac:dyDescent="0.3">
      <c r="A705" t="s">
        <v>1124</v>
      </c>
      <c r="B705" t="s">
        <v>324</v>
      </c>
      <c r="C705" s="2">
        <v>45882</v>
      </c>
      <c r="D705" t="s">
        <v>14</v>
      </c>
      <c r="E705" t="s">
        <v>22</v>
      </c>
      <c r="F705" t="s">
        <v>16</v>
      </c>
      <c r="G705" t="s">
        <v>17</v>
      </c>
      <c r="H705">
        <v>3</v>
      </c>
      <c r="I705">
        <v>1350</v>
      </c>
      <c r="J705" t="s">
        <v>18</v>
      </c>
      <c r="K705" t="s">
        <v>19</v>
      </c>
      <c r="L705" s="5">
        <f t="shared" si="10"/>
        <v>4050</v>
      </c>
    </row>
    <row r="706" spans="1:12" x14ac:dyDescent="0.3">
      <c r="A706" t="s">
        <v>1125</v>
      </c>
      <c r="B706" t="s">
        <v>565</v>
      </c>
      <c r="C706" s="2">
        <v>46016</v>
      </c>
      <c r="D706" t="s">
        <v>46</v>
      </c>
      <c r="E706" t="s">
        <v>55</v>
      </c>
      <c r="F706" t="s">
        <v>29</v>
      </c>
      <c r="G706" t="s">
        <v>184</v>
      </c>
      <c r="H706">
        <v>1</v>
      </c>
      <c r="I706">
        <v>5000</v>
      </c>
      <c r="J706" t="s">
        <v>35</v>
      </c>
      <c r="K706" t="s">
        <v>19</v>
      </c>
      <c r="L706" s="5">
        <f t="shared" si="10"/>
        <v>5000</v>
      </c>
    </row>
    <row r="707" spans="1:12" x14ac:dyDescent="0.3">
      <c r="A707" t="s">
        <v>1126</v>
      </c>
      <c r="B707" t="s">
        <v>624</v>
      </c>
      <c r="C707" s="2">
        <v>45869</v>
      </c>
      <c r="D707" t="s">
        <v>64</v>
      </c>
      <c r="E707" t="s">
        <v>65</v>
      </c>
      <c r="F707" t="s">
        <v>23</v>
      </c>
      <c r="G707" t="s">
        <v>24</v>
      </c>
      <c r="H707">
        <v>1</v>
      </c>
      <c r="I707">
        <v>32950</v>
      </c>
      <c r="J707" t="s">
        <v>35</v>
      </c>
      <c r="K707" t="s">
        <v>19</v>
      </c>
      <c r="L707" s="5">
        <f t="shared" ref="L707:L770" si="11">H707*I707</f>
        <v>32950</v>
      </c>
    </row>
    <row r="708" spans="1:12" x14ac:dyDescent="0.3">
      <c r="A708" t="s">
        <v>1127</v>
      </c>
      <c r="B708" t="s">
        <v>975</v>
      </c>
      <c r="C708" s="2">
        <v>45960</v>
      </c>
      <c r="D708" t="s">
        <v>14</v>
      </c>
      <c r="E708" t="s">
        <v>51</v>
      </c>
      <c r="F708" t="s">
        <v>29</v>
      </c>
      <c r="G708" t="s">
        <v>90</v>
      </c>
      <c r="H708">
        <v>3</v>
      </c>
      <c r="I708">
        <v>6900</v>
      </c>
      <c r="J708" t="s">
        <v>18</v>
      </c>
      <c r="K708" t="s">
        <v>19</v>
      </c>
      <c r="L708" s="5">
        <f t="shared" si="11"/>
        <v>20700</v>
      </c>
    </row>
    <row r="709" spans="1:12" x14ac:dyDescent="0.3">
      <c r="A709" t="s">
        <v>1128</v>
      </c>
      <c r="B709" t="s">
        <v>310</v>
      </c>
      <c r="C709" s="2">
        <v>45982</v>
      </c>
      <c r="D709" t="s">
        <v>14</v>
      </c>
      <c r="E709" t="s">
        <v>22</v>
      </c>
      <c r="F709" t="s">
        <v>16</v>
      </c>
      <c r="G709" t="s">
        <v>48</v>
      </c>
      <c r="H709">
        <v>1</v>
      </c>
      <c r="I709">
        <v>5700</v>
      </c>
      <c r="J709" t="s">
        <v>35</v>
      </c>
      <c r="K709" t="s">
        <v>19</v>
      </c>
      <c r="L709" s="5">
        <f t="shared" si="11"/>
        <v>5700</v>
      </c>
    </row>
    <row r="710" spans="1:12" x14ac:dyDescent="0.3">
      <c r="A710" t="s">
        <v>1129</v>
      </c>
      <c r="B710" t="s">
        <v>299</v>
      </c>
      <c r="C710" s="2">
        <v>45884</v>
      </c>
      <c r="D710" t="s">
        <v>64</v>
      </c>
      <c r="E710" t="s">
        <v>86</v>
      </c>
      <c r="F710" t="s">
        <v>23</v>
      </c>
      <c r="G710" t="s">
        <v>56</v>
      </c>
      <c r="H710">
        <v>3</v>
      </c>
      <c r="I710">
        <v>8850</v>
      </c>
      <c r="J710" t="s">
        <v>41</v>
      </c>
      <c r="K710" t="s">
        <v>19</v>
      </c>
      <c r="L710" s="5">
        <f t="shared" si="11"/>
        <v>26550</v>
      </c>
    </row>
    <row r="711" spans="1:12" x14ac:dyDescent="0.3">
      <c r="A711" t="s">
        <v>1130</v>
      </c>
      <c r="B711" t="s">
        <v>675</v>
      </c>
      <c r="C711" s="2">
        <v>45843</v>
      </c>
      <c r="D711" t="s">
        <v>33</v>
      </c>
      <c r="E711" t="s">
        <v>80</v>
      </c>
      <c r="F711" t="s">
        <v>23</v>
      </c>
      <c r="G711" t="s">
        <v>193</v>
      </c>
      <c r="H711">
        <v>2</v>
      </c>
      <c r="I711">
        <v>7500</v>
      </c>
      <c r="J711" t="s">
        <v>61</v>
      </c>
      <c r="K711" t="s">
        <v>69</v>
      </c>
      <c r="L711" s="5">
        <f t="shared" si="11"/>
        <v>15000</v>
      </c>
    </row>
    <row r="712" spans="1:12" x14ac:dyDescent="0.3">
      <c r="A712" t="s">
        <v>1131</v>
      </c>
      <c r="B712" t="s">
        <v>1024</v>
      </c>
      <c r="C712" s="2">
        <v>45675</v>
      </c>
      <c r="D712" t="s">
        <v>64</v>
      </c>
      <c r="E712" t="s">
        <v>99</v>
      </c>
      <c r="F712" t="s">
        <v>29</v>
      </c>
      <c r="G712" t="s">
        <v>30</v>
      </c>
      <c r="H712">
        <v>1</v>
      </c>
      <c r="I712">
        <v>4150</v>
      </c>
      <c r="J712" t="s">
        <v>41</v>
      </c>
      <c r="K712" t="s">
        <v>127</v>
      </c>
      <c r="L712" s="5">
        <f t="shared" si="11"/>
        <v>4150</v>
      </c>
    </row>
    <row r="713" spans="1:12" x14ac:dyDescent="0.3">
      <c r="A713" t="s">
        <v>1132</v>
      </c>
      <c r="B713" t="s">
        <v>242</v>
      </c>
      <c r="C713" s="2">
        <v>45987</v>
      </c>
      <c r="D713" t="s">
        <v>64</v>
      </c>
      <c r="E713" t="s">
        <v>93</v>
      </c>
      <c r="F713" t="s">
        <v>29</v>
      </c>
      <c r="G713" t="s">
        <v>184</v>
      </c>
      <c r="H713">
        <v>3</v>
      </c>
      <c r="I713">
        <v>2200</v>
      </c>
      <c r="J713" t="s">
        <v>41</v>
      </c>
      <c r="K713" t="s">
        <v>19</v>
      </c>
      <c r="L713" s="5">
        <f t="shared" si="11"/>
        <v>6600</v>
      </c>
    </row>
    <row r="714" spans="1:12" x14ac:dyDescent="0.3">
      <c r="A714" t="s">
        <v>1133</v>
      </c>
      <c r="B714" t="s">
        <v>614</v>
      </c>
      <c r="C714" s="2">
        <v>45884</v>
      </c>
      <c r="D714" t="s">
        <v>14</v>
      </c>
      <c r="E714" t="s">
        <v>15</v>
      </c>
      <c r="F714" t="s">
        <v>23</v>
      </c>
      <c r="G714" t="s">
        <v>137</v>
      </c>
      <c r="H714">
        <v>1</v>
      </c>
      <c r="I714">
        <v>11550</v>
      </c>
      <c r="J714" t="s">
        <v>18</v>
      </c>
      <c r="K714" t="s">
        <v>19</v>
      </c>
      <c r="L714" s="5">
        <f t="shared" si="11"/>
        <v>11550</v>
      </c>
    </row>
    <row r="715" spans="1:12" x14ac:dyDescent="0.3">
      <c r="A715" t="s">
        <v>1134</v>
      </c>
      <c r="B715" t="s">
        <v>508</v>
      </c>
      <c r="C715" s="2">
        <v>45810</v>
      </c>
      <c r="D715" t="s">
        <v>14</v>
      </c>
      <c r="E715" t="s">
        <v>51</v>
      </c>
      <c r="F715" t="s">
        <v>29</v>
      </c>
      <c r="G715" t="s">
        <v>30</v>
      </c>
      <c r="H715">
        <v>1</v>
      </c>
      <c r="I715">
        <v>7750</v>
      </c>
      <c r="J715" t="s">
        <v>18</v>
      </c>
      <c r="K715" t="s">
        <v>19</v>
      </c>
      <c r="L715" s="5">
        <f t="shared" si="11"/>
        <v>7750</v>
      </c>
    </row>
    <row r="716" spans="1:12" x14ac:dyDescent="0.3">
      <c r="A716" t="s">
        <v>1135</v>
      </c>
      <c r="B716" t="s">
        <v>481</v>
      </c>
      <c r="C716" s="2">
        <v>45958</v>
      </c>
      <c r="D716" t="s">
        <v>64</v>
      </c>
      <c r="E716" t="s">
        <v>86</v>
      </c>
      <c r="F716" t="s">
        <v>23</v>
      </c>
      <c r="G716" t="s">
        <v>140</v>
      </c>
      <c r="H716">
        <v>3</v>
      </c>
      <c r="I716">
        <v>27650</v>
      </c>
      <c r="J716" t="s">
        <v>18</v>
      </c>
      <c r="K716" t="s">
        <v>19</v>
      </c>
      <c r="L716" s="5">
        <f t="shared" si="11"/>
        <v>82950</v>
      </c>
    </row>
    <row r="717" spans="1:12" x14ac:dyDescent="0.3">
      <c r="A717" t="s">
        <v>1136</v>
      </c>
      <c r="B717" t="s">
        <v>1137</v>
      </c>
      <c r="C717" s="2">
        <v>45942</v>
      </c>
      <c r="D717" t="s">
        <v>46</v>
      </c>
      <c r="E717" t="s">
        <v>47</v>
      </c>
      <c r="F717" t="s">
        <v>59</v>
      </c>
      <c r="G717" t="s">
        <v>163</v>
      </c>
      <c r="H717">
        <v>1</v>
      </c>
      <c r="I717">
        <v>3500</v>
      </c>
      <c r="J717" t="s">
        <v>61</v>
      </c>
      <c r="K717" t="s">
        <v>19</v>
      </c>
      <c r="L717" s="5">
        <f t="shared" si="11"/>
        <v>3500</v>
      </c>
    </row>
    <row r="718" spans="1:12" x14ac:dyDescent="0.3">
      <c r="A718" t="s">
        <v>1138</v>
      </c>
      <c r="B718" t="s">
        <v>319</v>
      </c>
      <c r="C718" s="2">
        <v>45844</v>
      </c>
      <c r="D718" t="s">
        <v>33</v>
      </c>
      <c r="E718" t="s">
        <v>34</v>
      </c>
      <c r="F718" t="s">
        <v>23</v>
      </c>
      <c r="G718" t="s">
        <v>56</v>
      </c>
      <c r="H718">
        <v>1</v>
      </c>
      <c r="I718">
        <v>5950</v>
      </c>
      <c r="J718" t="s">
        <v>115</v>
      </c>
      <c r="K718" t="s">
        <v>25</v>
      </c>
      <c r="L718" s="5">
        <f t="shared" si="11"/>
        <v>5950</v>
      </c>
    </row>
    <row r="719" spans="1:12" x14ac:dyDescent="0.3">
      <c r="A719" t="s">
        <v>1139</v>
      </c>
      <c r="B719" t="s">
        <v>1092</v>
      </c>
      <c r="C719" s="2">
        <v>45743</v>
      </c>
      <c r="D719" t="s">
        <v>14</v>
      </c>
      <c r="E719" t="s">
        <v>51</v>
      </c>
      <c r="F719" t="s">
        <v>39</v>
      </c>
      <c r="G719" t="s">
        <v>40</v>
      </c>
      <c r="H719">
        <v>2</v>
      </c>
      <c r="I719">
        <v>7150</v>
      </c>
      <c r="J719" t="s">
        <v>115</v>
      </c>
      <c r="K719" t="s">
        <v>19</v>
      </c>
      <c r="L719" s="5">
        <f t="shared" si="11"/>
        <v>14300</v>
      </c>
    </row>
    <row r="720" spans="1:12" x14ac:dyDescent="0.3">
      <c r="A720" t="s">
        <v>1140</v>
      </c>
      <c r="B720" t="s">
        <v>451</v>
      </c>
      <c r="C720" s="2">
        <v>45672</v>
      </c>
      <c r="D720" t="s">
        <v>14</v>
      </c>
      <c r="E720" t="s">
        <v>28</v>
      </c>
      <c r="F720" t="s">
        <v>23</v>
      </c>
      <c r="G720" t="s">
        <v>137</v>
      </c>
      <c r="H720">
        <v>3</v>
      </c>
      <c r="I720">
        <v>64950</v>
      </c>
      <c r="J720" t="s">
        <v>35</v>
      </c>
      <c r="K720" t="s">
        <v>19</v>
      </c>
      <c r="L720" s="5">
        <f t="shared" si="11"/>
        <v>194850</v>
      </c>
    </row>
    <row r="721" spans="1:12" x14ac:dyDescent="0.3">
      <c r="A721" t="s">
        <v>1141</v>
      </c>
      <c r="B721" t="s">
        <v>1090</v>
      </c>
      <c r="C721" s="2">
        <v>45871</v>
      </c>
      <c r="D721" t="s">
        <v>14</v>
      </c>
      <c r="E721" t="s">
        <v>51</v>
      </c>
      <c r="F721" t="s">
        <v>16</v>
      </c>
      <c r="G721" t="s">
        <v>17</v>
      </c>
      <c r="H721">
        <v>1</v>
      </c>
      <c r="I721">
        <v>4950</v>
      </c>
      <c r="J721" t="s">
        <v>18</v>
      </c>
      <c r="K721" t="s">
        <v>19</v>
      </c>
      <c r="L721" s="5">
        <f t="shared" si="11"/>
        <v>4950</v>
      </c>
    </row>
    <row r="722" spans="1:12" x14ac:dyDescent="0.3">
      <c r="A722" t="s">
        <v>1142</v>
      </c>
      <c r="B722" t="s">
        <v>32</v>
      </c>
      <c r="C722" s="2">
        <v>45707</v>
      </c>
      <c r="D722" t="s">
        <v>64</v>
      </c>
      <c r="E722" t="s">
        <v>93</v>
      </c>
      <c r="F722" t="s">
        <v>39</v>
      </c>
      <c r="G722" t="s">
        <v>87</v>
      </c>
      <c r="H722">
        <v>5</v>
      </c>
      <c r="I722">
        <v>5000</v>
      </c>
      <c r="J722" t="s">
        <v>35</v>
      </c>
      <c r="K722" t="s">
        <v>19</v>
      </c>
      <c r="L722" s="5">
        <f t="shared" si="11"/>
        <v>25000</v>
      </c>
    </row>
    <row r="723" spans="1:12" x14ac:dyDescent="0.3">
      <c r="A723" t="s">
        <v>1143</v>
      </c>
      <c r="B723" t="s">
        <v>1144</v>
      </c>
      <c r="C723" s="2">
        <v>45732</v>
      </c>
      <c r="D723" t="s">
        <v>64</v>
      </c>
      <c r="E723" t="s">
        <v>93</v>
      </c>
      <c r="F723" t="s">
        <v>23</v>
      </c>
      <c r="G723" t="s">
        <v>193</v>
      </c>
      <c r="H723">
        <v>2</v>
      </c>
      <c r="I723">
        <v>11950</v>
      </c>
      <c r="J723" t="s">
        <v>18</v>
      </c>
      <c r="K723" t="s">
        <v>19</v>
      </c>
      <c r="L723" s="5">
        <f t="shared" si="11"/>
        <v>23900</v>
      </c>
    </row>
    <row r="724" spans="1:12" x14ac:dyDescent="0.3">
      <c r="A724" t="s">
        <v>1145</v>
      </c>
      <c r="B724" t="s">
        <v>562</v>
      </c>
      <c r="C724" s="2">
        <v>45808</v>
      </c>
      <c r="D724" t="s">
        <v>64</v>
      </c>
      <c r="E724" t="s">
        <v>93</v>
      </c>
      <c r="F724" t="s">
        <v>23</v>
      </c>
      <c r="G724" t="s">
        <v>137</v>
      </c>
      <c r="H724">
        <v>3</v>
      </c>
      <c r="I724">
        <v>9450</v>
      </c>
      <c r="J724" t="s">
        <v>18</v>
      </c>
      <c r="K724" t="s">
        <v>19</v>
      </c>
      <c r="L724" s="5">
        <f t="shared" si="11"/>
        <v>28350</v>
      </c>
    </row>
    <row r="725" spans="1:12" x14ac:dyDescent="0.3">
      <c r="A725" t="s">
        <v>1146</v>
      </c>
      <c r="B725" t="s">
        <v>361</v>
      </c>
      <c r="C725" s="2">
        <v>45900</v>
      </c>
      <c r="D725" t="s">
        <v>14</v>
      </c>
      <c r="E725" t="s">
        <v>15</v>
      </c>
      <c r="F725" t="s">
        <v>16</v>
      </c>
      <c r="G725" t="s">
        <v>134</v>
      </c>
      <c r="H725">
        <v>5</v>
      </c>
      <c r="I725">
        <v>3800</v>
      </c>
      <c r="J725" t="s">
        <v>18</v>
      </c>
      <c r="K725" t="s">
        <v>19</v>
      </c>
      <c r="L725" s="5">
        <f t="shared" si="11"/>
        <v>19000</v>
      </c>
    </row>
    <row r="726" spans="1:12" x14ac:dyDescent="0.3">
      <c r="A726" t="s">
        <v>1147</v>
      </c>
      <c r="B726" t="s">
        <v>1148</v>
      </c>
      <c r="C726" s="2">
        <v>45915</v>
      </c>
      <c r="D726" t="s">
        <v>46</v>
      </c>
      <c r="E726" t="s">
        <v>47</v>
      </c>
      <c r="F726" t="s">
        <v>23</v>
      </c>
      <c r="G726" t="s">
        <v>56</v>
      </c>
      <c r="H726">
        <v>1</v>
      </c>
      <c r="I726">
        <v>57650</v>
      </c>
      <c r="J726" t="s">
        <v>61</v>
      </c>
      <c r="K726" t="s">
        <v>19</v>
      </c>
      <c r="L726" s="5">
        <f t="shared" si="11"/>
        <v>57650</v>
      </c>
    </row>
    <row r="727" spans="1:12" x14ac:dyDescent="0.3">
      <c r="A727" t="s">
        <v>1149</v>
      </c>
      <c r="B727" t="s">
        <v>225</v>
      </c>
      <c r="C727" s="2">
        <v>46001</v>
      </c>
      <c r="D727" t="s">
        <v>14</v>
      </c>
      <c r="E727" t="s">
        <v>28</v>
      </c>
      <c r="F727" t="s">
        <v>59</v>
      </c>
      <c r="G727" t="s">
        <v>163</v>
      </c>
      <c r="H727">
        <v>1</v>
      </c>
      <c r="I727">
        <v>750</v>
      </c>
      <c r="J727" t="s">
        <v>18</v>
      </c>
      <c r="K727" t="s">
        <v>19</v>
      </c>
      <c r="L727" s="5">
        <f t="shared" si="11"/>
        <v>750</v>
      </c>
    </row>
    <row r="728" spans="1:12" x14ac:dyDescent="0.3">
      <c r="A728" t="s">
        <v>1150</v>
      </c>
      <c r="B728" t="s">
        <v>813</v>
      </c>
      <c r="C728" s="2">
        <v>45681</v>
      </c>
      <c r="D728" t="s">
        <v>14</v>
      </c>
      <c r="E728" t="s">
        <v>15</v>
      </c>
      <c r="F728" t="s">
        <v>23</v>
      </c>
      <c r="G728" t="s">
        <v>193</v>
      </c>
      <c r="H728">
        <v>3</v>
      </c>
      <c r="I728">
        <v>42050</v>
      </c>
      <c r="J728" t="s">
        <v>115</v>
      </c>
      <c r="K728" t="s">
        <v>19</v>
      </c>
      <c r="L728" s="5">
        <f t="shared" si="11"/>
        <v>126150</v>
      </c>
    </row>
    <row r="729" spans="1:12" x14ac:dyDescent="0.3">
      <c r="A729" t="s">
        <v>1151</v>
      </c>
      <c r="B729" t="s">
        <v>382</v>
      </c>
      <c r="C729" s="2">
        <v>45820</v>
      </c>
      <c r="D729" t="s">
        <v>14</v>
      </c>
      <c r="E729" t="s">
        <v>28</v>
      </c>
      <c r="F729" t="s">
        <v>23</v>
      </c>
      <c r="G729" t="s">
        <v>140</v>
      </c>
      <c r="H729">
        <v>2</v>
      </c>
      <c r="I729">
        <v>5350</v>
      </c>
      <c r="J729" t="s">
        <v>41</v>
      </c>
      <c r="K729" t="s">
        <v>69</v>
      </c>
      <c r="L729" s="5">
        <f t="shared" si="11"/>
        <v>10700</v>
      </c>
    </row>
    <row r="730" spans="1:12" x14ac:dyDescent="0.3">
      <c r="A730" t="s">
        <v>1152</v>
      </c>
      <c r="B730" t="s">
        <v>239</v>
      </c>
      <c r="C730" s="2">
        <v>45757</v>
      </c>
      <c r="D730" t="s">
        <v>14</v>
      </c>
      <c r="E730" t="s">
        <v>22</v>
      </c>
      <c r="F730" t="s">
        <v>59</v>
      </c>
      <c r="G730" t="s">
        <v>322</v>
      </c>
      <c r="H730">
        <v>3</v>
      </c>
      <c r="I730">
        <v>1700</v>
      </c>
      <c r="J730" t="s">
        <v>35</v>
      </c>
      <c r="K730" t="s">
        <v>69</v>
      </c>
      <c r="L730" s="5">
        <f t="shared" si="11"/>
        <v>5100</v>
      </c>
    </row>
    <row r="731" spans="1:12" x14ac:dyDescent="0.3">
      <c r="A731" t="s">
        <v>1153</v>
      </c>
      <c r="B731" t="s">
        <v>209</v>
      </c>
      <c r="C731" s="2">
        <v>45749</v>
      </c>
      <c r="D731" t="s">
        <v>14</v>
      </c>
      <c r="E731" t="s">
        <v>15</v>
      </c>
      <c r="F731" t="s">
        <v>59</v>
      </c>
      <c r="G731" t="s">
        <v>103</v>
      </c>
      <c r="H731">
        <v>1</v>
      </c>
      <c r="I731">
        <v>1950</v>
      </c>
      <c r="J731" t="s">
        <v>18</v>
      </c>
      <c r="K731" t="s">
        <v>127</v>
      </c>
      <c r="L731" s="5">
        <f t="shared" si="11"/>
        <v>1950</v>
      </c>
    </row>
    <row r="732" spans="1:12" x14ac:dyDescent="0.3">
      <c r="A732" t="s">
        <v>1154</v>
      </c>
      <c r="B732" t="s">
        <v>211</v>
      </c>
      <c r="C732" s="2">
        <v>45887</v>
      </c>
      <c r="D732" t="s">
        <v>14</v>
      </c>
      <c r="E732" t="s">
        <v>51</v>
      </c>
      <c r="F732" t="s">
        <v>59</v>
      </c>
      <c r="G732" t="s">
        <v>228</v>
      </c>
      <c r="H732">
        <v>5</v>
      </c>
      <c r="I732">
        <v>800</v>
      </c>
      <c r="J732" t="s">
        <v>35</v>
      </c>
      <c r="K732" t="s">
        <v>19</v>
      </c>
      <c r="L732" s="5">
        <f t="shared" si="11"/>
        <v>4000</v>
      </c>
    </row>
    <row r="733" spans="1:12" x14ac:dyDescent="0.3">
      <c r="A733" t="s">
        <v>1155</v>
      </c>
      <c r="B733" t="s">
        <v>324</v>
      </c>
      <c r="C733" s="2">
        <v>45920</v>
      </c>
      <c r="D733" t="s">
        <v>33</v>
      </c>
      <c r="E733" t="s">
        <v>68</v>
      </c>
      <c r="F733" t="s">
        <v>39</v>
      </c>
      <c r="G733" t="s">
        <v>87</v>
      </c>
      <c r="H733">
        <v>3</v>
      </c>
      <c r="I733">
        <v>4100</v>
      </c>
      <c r="J733" t="s">
        <v>35</v>
      </c>
      <c r="K733" t="s">
        <v>19</v>
      </c>
      <c r="L733" s="5">
        <f t="shared" si="11"/>
        <v>12300</v>
      </c>
    </row>
    <row r="734" spans="1:12" x14ac:dyDescent="0.3">
      <c r="A734" t="s">
        <v>1156</v>
      </c>
      <c r="B734" t="s">
        <v>1157</v>
      </c>
      <c r="C734" s="2">
        <v>45735</v>
      </c>
      <c r="D734" t="s">
        <v>33</v>
      </c>
      <c r="E734" t="s">
        <v>38</v>
      </c>
      <c r="F734" t="s">
        <v>29</v>
      </c>
      <c r="G734" t="s">
        <v>90</v>
      </c>
      <c r="H734">
        <v>1</v>
      </c>
      <c r="I734">
        <v>4200</v>
      </c>
      <c r="J734" t="s">
        <v>18</v>
      </c>
      <c r="K734" t="s">
        <v>19</v>
      </c>
      <c r="L734" s="5">
        <f t="shared" si="11"/>
        <v>4200</v>
      </c>
    </row>
    <row r="735" spans="1:12" x14ac:dyDescent="0.3">
      <c r="A735" t="s">
        <v>1158</v>
      </c>
      <c r="B735" t="s">
        <v>1159</v>
      </c>
      <c r="C735" s="2">
        <v>45941</v>
      </c>
      <c r="D735" t="s">
        <v>46</v>
      </c>
      <c r="E735" t="s">
        <v>72</v>
      </c>
      <c r="F735" t="s">
        <v>23</v>
      </c>
      <c r="G735" t="s">
        <v>24</v>
      </c>
      <c r="H735">
        <v>1</v>
      </c>
      <c r="I735">
        <v>22400</v>
      </c>
      <c r="J735" t="s">
        <v>41</v>
      </c>
      <c r="K735" t="s">
        <v>19</v>
      </c>
      <c r="L735" s="5">
        <f t="shared" si="11"/>
        <v>22400</v>
      </c>
    </row>
    <row r="736" spans="1:12" x14ac:dyDescent="0.3">
      <c r="A736" t="s">
        <v>1160</v>
      </c>
      <c r="B736" t="s">
        <v>410</v>
      </c>
      <c r="C736" s="2">
        <v>45861</v>
      </c>
      <c r="D736" t="s">
        <v>46</v>
      </c>
      <c r="E736" t="s">
        <v>72</v>
      </c>
      <c r="F736" t="s">
        <v>29</v>
      </c>
      <c r="G736" t="s">
        <v>100</v>
      </c>
      <c r="H736">
        <v>1</v>
      </c>
      <c r="I736">
        <v>6850</v>
      </c>
      <c r="J736" t="s">
        <v>115</v>
      </c>
      <c r="K736" t="s">
        <v>127</v>
      </c>
      <c r="L736" s="5">
        <f t="shared" si="11"/>
        <v>6850</v>
      </c>
    </row>
    <row r="737" spans="1:12" x14ac:dyDescent="0.3">
      <c r="A737" t="s">
        <v>1161</v>
      </c>
      <c r="B737" t="s">
        <v>367</v>
      </c>
      <c r="C737" s="2">
        <v>45859</v>
      </c>
      <c r="D737" t="s">
        <v>14</v>
      </c>
      <c r="E737" t="s">
        <v>15</v>
      </c>
      <c r="F737" t="s">
        <v>39</v>
      </c>
      <c r="G737" t="s">
        <v>87</v>
      </c>
      <c r="H737">
        <v>1</v>
      </c>
      <c r="I737">
        <v>6550</v>
      </c>
      <c r="J737" t="s">
        <v>115</v>
      </c>
      <c r="K737" t="s">
        <v>19</v>
      </c>
      <c r="L737" s="5">
        <f t="shared" si="11"/>
        <v>6550</v>
      </c>
    </row>
    <row r="738" spans="1:12" x14ac:dyDescent="0.3">
      <c r="A738" t="s">
        <v>1162</v>
      </c>
      <c r="B738" t="s">
        <v>894</v>
      </c>
      <c r="C738" s="2">
        <v>45914</v>
      </c>
      <c r="D738" t="s">
        <v>64</v>
      </c>
      <c r="E738" t="s">
        <v>99</v>
      </c>
      <c r="F738" t="s">
        <v>29</v>
      </c>
      <c r="G738" t="s">
        <v>184</v>
      </c>
      <c r="H738">
        <v>1</v>
      </c>
      <c r="I738">
        <v>6800</v>
      </c>
      <c r="J738" t="s">
        <v>61</v>
      </c>
      <c r="K738" t="s">
        <v>19</v>
      </c>
      <c r="L738" s="5">
        <f t="shared" si="11"/>
        <v>6800</v>
      </c>
    </row>
    <row r="739" spans="1:12" x14ac:dyDescent="0.3">
      <c r="A739" t="s">
        <v>1163</v>
      </c>
      <c r="B739" t="s">
        <v>1164</v>
      </c>
      <c r="C739" s="2">
        <v>45744</v>
      </c>
      <c r="D739" t="s">
        <v>33</v>
      </c>
      <c r="E739" t="s">
        <v>34</v>
      </c>
      <c r="F739" t="s">
        <v>59</v>
      </c>
      <c r="G739" t="s">
        <v>103</v>
      </c>
      <c r="H739">
        <v>1</v>
      </c>
      <c r="I739">
        <v>4350</v>
      </c>
      <c r="J739" t="s">
        <v>115</v>
      </c>
      <c r="K739" t="s">
        <v>19</v>
      </c>
      <c r="L739" s="5">
        <f t="shared" si="11"/>
        <v>4350</v>
      </c>
    </row>
    <row r="740" spans="1:12" x14ac:dyDescent="0.3">
      <c r="A740" t="s">
        <v>1165</v>
      </c>
      <c r="B740" t="s">
        <v>248</v>
      </c>
      <c r="C740" s="2">
        <v>45935</v>
      </c>
      <c r="D740" t="s">
        <v>46</v>
      </c>
      <c r="E740" t="s">
        <v>47</v>
      </c>
      <c r="F740" t="s">
        <v>16</v>
      </c>
      <c r="G740" t="s">
        <v>17</v>
      </c>
      <c r="H740">
        <v>1</v>
      </c>
      <c r="I740">
        <v>7950</v>
      </c>
      <c r="J740" t="s">
        <v>18</v>
      </c>
      <c r="K740" t="s">
        <v>19</v>
      </c>
      <c r="L740" s="5">
        <f t="shared" si="11"/>
        <v>7950</v>
      </c>
    </row>
    <row r="741" spans="1:12" x14ac:dyDescent="0.3">
      <c r="A741" t="s">
        <v>1166</v>
      </c>
      <c r="B741" t="s">
        <v>1107</v>
      </c>
      <c r="C741" s="2">
        <v>45736</v>
      </c>
      <c r="D741" t="s">
        <v>64</v>
      </c>
      <c r="E741" t="s">
        <v>86</v>
      </c>
      <c r="F741" t="s">
        <v>59</v>
      </c>
      <c r="G741" t="s">
        <v>60</v>
      </c>
      <c r="H741">
        <v>1</v>
      </c>
      <c r="I741">
        <v>2050</v>
      </c>
      <c r="J741" t="s">
        <v>41</v>
      </c>
      <c r="K741" t="s">
        <v>19</v>
      </c>
      <c r="L741" s="5">
        <f t="shared" si="11"/>
        <v>2050</v>
      </c>
    </row>
    <row r="742" spans="1:12" x14ac:dyDescent="0.3">
      <c r="A742" t="s">
        <v>1167</v>
      </c>
      <c r="B742" t="s">
        <v>1168</v>
      </c>
      <c r="C742" s="2">
        <v>45843</v>
      </c>
      <c r="D742" t="s">
        <v>46</v>
      </c>
      <c r="E742" t="s">
        <v>47</v>
      </c>
      <c r="F742" t="s">
        <v>59</v>
      </c>
      <c r="G742" t="s">
        <v>103</v>
      </c>
      <c r="H742">
        <v>1</v>
      </c>
      <c r="I742">
        <v>3400</v>
      </c>
      <c r="J742" t="s">
        <v>18</v>
      </c>
      <c r="K742" t="s">
        <v>69</v>
      </c>
      <c r="L742" s="5">
        <f t="shared" si="11"/>
        <v>3400</v>
      </c>
    </row>
    <row r="743" spans="1:12" x14ac:dyDescent="0.3">
      <c r="A743" t="s">
        <v>1169</v>
      </c>
      <c r="B743" t="s">
        <v>1170</v>
      </c>
      <c r="C743" s="2">
        <v>45890</v>
      </c>
      <c r="D743" t="s">
        <v>64</v>
      </c>
      <c r="E743" t="s">
        <v>93</v>
      </c>
      <c r="F743" t="s">
        <v>29</v>
      </c>
      <c r="G743" t="s">
        <v>90</v>
      </c>
      <c r="H743">
        <v>2</v>
      </c>
      <c r="I743">
        <v>4250</v>
      </c>
      <c r="J743" t="s">
        <v>18</v>
      </c>
      <c r="K743" t="s">
        <v>19</v>
      </c>
      <c r="L743" s="5">
        <f t="shared" si="11"/>
        <v>8500</v>
      </c>
    </row>
    <row r="744" spans="1:12" x14ac:dyDescent="0.3">
      <c r="A744" t="s">
        <v>1171</v>
      </c>
      <c r="B744" t="s">
        <v>601</v>
      </c>
      <c r="C744" s="2">
        <v>45863</v>
      </c>
      <c r="D744" t="s">
        <v>46</v>
      </c>
      <c r="E744" t="s">
        <v>75</v>
      </c>
      <c r="F744" t="s">
        <v>16</v>
      </c>
      <c r="G744" t="s">
        <v>134</v>
      </c>
      <c r="H744">
        <v>2</v>
      </c>
      <c r="I744">
        <v>600</v>
      </c>
      <c r="J744" t="s">
        <v>41</v>
      </c>
      <c r="K744" t="s">
        <v>19</v>
      </c>
      <c r="L744" s="5">
        <f t="shared" si="11"/>
        <v>1200</v>
      </c>
    </row>
    <row r="745" spans="1:12" x14ac:dyDescent="0.3">
      <c r="A745" t="s">
        <v>1172</v>
      </c>
      <c r="B745" t="s">
        <v>869</v>
      </c>
      <c r="C745" s="2">
        <v>45892</v>
      </c>
      <c r="D745" t="s">
        <v>14</v>
      </c>
      <c r="E745" t="s">
        <v>15</v>
      </c>
      <c r="F745" t="s">
        <v>59</v>
      </c>
      <c r="G745" t="s">
        <v>103</v>
      </c>
      <c r="H745">
        <v>2</v>
      </c>
      <c r="I745">
        <v>4500</v>
      </c>
      <c r="J745" t="s">
        <v>18</v>
      </c>
      <c r="K745" t="s">
        <v>19</v>
      </c>
      <c r="L745" s="5">
        <f t="shared" si="11"/>
        <v>9000</v>
      </c>
    </row>
    <row r="746" spans="1:12" x14ac:dyDescent="0.3">
      <c r="A746" t="s">
        <v>1173</v>
      </c>
      <c r="B746" t="s">
        <v>195</v>
      </c>
      <c r="C746" s="2">
        <v>45664</v>
      </c>
      <c r="D746" t="s">
        <v>14</v>
      </c>
      <c r="E746" t="s">
        <v>22</v>
      </c>
      <c r="F746" t="s">
        <v>59</v>
      </c>
      <c r="G746" t="s">
        <v>228</v>
      </c>
      <c r="H746">
        <v>2</v>
      </c>
      <c r="I746">
        <v>2200</v>
      </c>
      <c r="J746" t="s">
        <v>18</v>
      </c>
      <c r="K746" t="s">
        <v>25</v>
      </c>
      <c r="L746" s="5">
        <f t="shared" si="11"/>
        <v>4400</v>
      </c>
    </row>
    <row r="747" spans="1:12" x14ac:dyDescent="0.3">
      <c r="A747" t="s">
        <v>1174</v>
      </c>
      <c r="B747" t="s">
        <v>246</v>
      </c>
      <c r="C747" s="2">
        <v>46002</v>
      </c>
      <c r="D747" t="s">
        <v>33</v>
      </c>
      <c r="E747" t="s">
        <v>38</v>
      </c>
      <c r="F747" t="s">
        <v>23</v>
      </c>
      <c r="G747" t="s">
        <v>193</v>
      </c>
      <c r="H747">
        <v>1</v>
      </c>
      <c r="I747">
        <v>35450</v>
      </c>
      <c r="J747" t="s">
        <v>115</v>
      </c>
      <c r="K747" t="s">
        <v>19</v>
      </c>
      <c r="L747" s="5">
        <f t="shared" si="11"/>
        <v>35450</v>
      </c>
    </row>
    <row r="748" spans="1:12" x14ac:dyDescent="0.3">
      <c r="A748" t="s">
        <v>1175</v>
      </c>
      <c r="B748" t="s">
        <v>58</v>
      </c>
      <c r="C748" s="2">
        <v>45933</v>
      </c>
      <c r="D748" t="s">
        <v>33</v>
      </c>
      <c r="E748" t="s">
        <v>68</v>
      </c>
      <c r="F748" t="s">
        <v>16</v>
      </c>
      <c r="G748" t="s">
        <v>143</v>
      </c>
      <c r="H748">
        <v>2</v>
      </c>
      <c r="I748">
        <v>4250</v>
      </c>
      <c r="J748" t="s">
        <v>18</v>
      </c>
      <c r="K748" t="s">
        <v>19</v>
      </c>
      <c r="L748" s="5">
        <f t="shared" si="11"/>
        <v>8500</v>
      </c>
    </row>
    <row r="749" spans="1:12" x14ac:dyDescent="0.3">
      <c r="A749" t="s">
        <v>1176</v>
      </c>
      <c r="B749" t="s">
        <v>645</v>
      </c>
      <c r="C749" s="2">
        <v>45688</v>
      </c>
      <c r="D749" t="s">
        <v>14</v>
      </c>
      <c r="E749" t="s">
        <v>15</v>
      </c>
      <c r="F749" t="s">
        <v>39</v>
      </c>
      <c r="G749" t="s">
        <v>52</v>
      </c>
      <c r="H749">
        <v>2</v>
      </c>
      <c r="I749">
        <v>6250</v>
      </c>
      <c r="J749" t="s">
        <v>41</v>
      </c>
      <c r="K749" t="s">
        <v>19</v>
      </c>
      <c r="L749" s="5">
        <f t="shared" si="11"/>
        <v>12500</v>
      </c>
    </row>
    <row r="750" spans="1:12" x14ac:dyDescent="0.3">
      <c r="A750" t="s">
        <v>1177</v>
      </c>
      <c r="B750" t="s">
        <v>71</v>
      </c>
      <c r="C750" s="2">
        <v>45724</v>
      </c>
      <c r="D750" t="s">
        <v>46</v>
      </c>
      <c r="E750" t="s">
        <v>75</v>
      </c>
      <c r="F750" t="s">
        <v>39</v>
      </c>
      <c r="G750" t="s">
        <v>40</v>
      </c>
      <c r="H750">
        <v>2</v>
      </c>
      <c r="I750">
        <v>2150</v>
      </c>
      <c r="J750" t="s">
        <v>35</v>
      </c>
      <c r="K750" t="s">
        <v>69</v>
      </c>
      <c r="L750" s="5">
        <f t="shared" si="11"/>
        <v>4300</v>
      </c>
    </row>
    <row r="751" spans="1:12" x14ac:dyDescent="0.3">
      <c r="A751" t="s">
        <v>1178</v>
      </c>
      <c r="B751" t="s">
        <v>918</v>
      </c>
      <c r="C751" s="2">
        <v>45861</v>
      </c>
      <c r="D751" t="s">
        <v>46</v>
      </c>
      <c r="E751" t="s">
        <v>47</v>
      </c>
      <c r="F751" t="s">
        <v>39</v>
      </c>
      <c r="G751" t="s">
        <v>52</v>
      </c>
      <c r="H751">
        <v>1</v>
      </c>
      <c r="I751">
        <v>1350</v>
      </c>
      <c r="J751" t="s">
        <v>35</v>
      </c>
      <c r="K751" t="s">
        <v>19</v>
      </c>
      <c r="L751" s="5">
        <f t="shared" si="11"/>
        <v>1350</v>
      </c>
    </row>
    <row r="752" spans="1:12" x14ac:dyDescent="0.3">
      <c r="A752" t="s">
        <v>1179</v>
      </c>
      <c r="B752" t="s">
        <v>1095</v>
      </c>
      <c r="C752" s="2">
        <v>45677</v>
      </c>
      <c r="D752" t="s">
        <v>14</v>
      </c>
      <c r="E752" t="s">
        <v>28</v>
      </c>
      <c r="F752" t="s">
        <v>23</v>
      </c>
      <c r="G752" t="s">
        <v>24</v>
      </c>
      <c r="H752">
        <v>1</v>
      </c>
      <c r="I752">
        <v>59800</v>
      </c>
      <c r="J752" t="s">
        <v>41</v>
      </c>
      <c r="K752" t="s">
        <v>127</v>
      </c>
      <c r="L752" s="5">
        <f t="shared" si="11"/>
        <v>59800</v>
      </c>
    </row>
    <row r="753" spans="1:12" x14ac:dyDescent="0.3">
      <c r="A753" t="s">
        <v>1180</v>
      </c>
      <c r="B753" t="s">
        <v>394</v>
      </c>
      <c r="C753" s="2">
        <v>45989</v>
      </c>
      <c r="D753" t="s">
        <v>33</v>
      </c>
      <c r="E753" t="s">
        <v>34</v>
      </c>
      <c r="F753" t="s">
        <v>39</v>
      </c>
      <c r="G753" t="s">
        <v>87</v>
      </c>
      <c r="H753">
        <v>2</v>
      </c>
      <c r="I753">
        <v>3500</v>
      </c>
      <c r="J753" t="s">
        <v>115</v>
      </c>
      <c r="K753" t="s">
        <v>19</v>
      </c>
      <c r="L753" s="5">
        <f t="shared" si="11"/>
        <v>7000</v>
      </c>
    </row>
    <row r="754" spans="1:12" x14ac:dyDescent="0.3">
      <c r="A754" t="s">
        <v>1181</v>
      </c>
      <c r="B754" t="s">
        <v>287</v>
      </c>
      <c r="C754" s="2">
        <v>45893</v>
      </c>
      <c r="D754" t="s">
        <v>14</v>
      </c>
      <c r="E754" t="s">
        <v>15</v>
      </c>
      <c r="F754" t="s">
        <v>23</v>
      </c>
      <c r="G754" t="s">
        <v>56</v>
      </c>
      <c r="H754">
        <v>4</v>
      </c>
      <c r="I754">
        <v>25500</v>
      </c>
      <c r="J754" t="s">
        <v>35</v>
      </c>
      <c r="K754" t="s">
        <v>19</v>
      </c>
      <c r="L754" s="5">
        <f t="shared" si="11"/>
        <v>102000</v>
      </c>
    </row>
    <row r="755" spans="1:12" x14ac:dyDescent="0.3">
      <c r="A755" t="s">
        <v>1182</v>
      </c>
      <c r="B755" t="s">
        <v>154</v>
      </c>
      <c r="C755" s="2">
        <v>46003</v>
      </c>
      <c r="D755" t="s">
        <v>14</v>
      </c>
      <c r="E755" t="s">
        <v>15</v>
      </c>
      <c r="F755" t="s">
        <v>16</v>
      </c>
      <c r="G755" t="s">
        <v>81</v>
      </c>
      <c r="H755">
        <v>1</v>
      </c>
      <c r="I755">
        <v>4050</v>
      </c>
      <c r="J755" t="s">
        <v>115</v>
      </c>
      <c r="K755" t="s">
        <v>19</v>
      </c>
      <c r="L755" s="5">
        <f t="shared" si="11"/>
        <v>4050</v>
      </c>
    </row>
    <row r="756" spans="1:12" x14ac:dyDescent="0.3">
      <c r="A756" t="s">
        <v>1183</v>
      </c>
      <c r="B756" t="s">
        <v>635</v>
      </c>
      <c r="C756" s="2">
        <v>45971</v>
      </c>
      <c r="D756" t="s">
        <v>14</v>
      </c>
      <c r="E756" t="s">
        <v>51</v>
      </c>
      <c r="F756" t="s">
        <v>23</v>
      </c>
      <c r="G756" t="s">
        <v>24</v>
      </c>
      <c r="H756">
        <v>3</v>
      </c>
      <c r="I756">
        <v>33850</v>
      </c>
      <c r="J756" t="s">
        <v>41</v>
      </c>
      <c r="K756" t="s">
        <v>19</v>
      </c>
      <c r="L756" s="5">
        <f t="shared" si="11"/>
        <v>101550</v>
      </c>
    </row>
    <row r="757" spans="1:12" x14ac:dyDescent="0.3">
      <c r="A757" t="s">
        <v>1184</v>
      </c>
      <c r="B757" t="s">
        <v>419</v>
      </c>
      <c r="C757" s="2">
        <v>45780</v>
      </c>
      <c r="D757" t="s">
        <v>64</v>
      </c>
      <c r="E757" t="s">
        <v>86</v>
      </c>
      <c r="F757" t="s">
        <v>23</v>
      </c>
      <c r="G757" t="s">
        <v>24</v>
      </c>
      <c r="H757">
        <v>2</v>
      </c>
      <c r="I757">
        <v>39000</v>
      </c>
      <c r="J757" t="s">
        <v>115</v>
      </c>
      <c r="K757" t="s">
        <v>19</v>
      </c>
      <c r="L757" s="5">
        <f t="shared" si="11"/>
        <v>78000</v>
      </c>
    </row>
    <row r="758" spans="1:12" x14ac:dyDescent="0.3">
      <c r="A758" t="s">
        <v>1185</v>
      </c>
      <c r="B758" t="s">
        <v>581</v>
      </c>
      <c r="C758" s="2">
        <v>45788</v>
      </c>
      <c r="D758" t="s">
        <v>14</v>
      </c>
      <c r="E758" t="s">
        <v>22</v>
      </c>
      <c r="F758" t="s">
        <v>29</v>
      </c>
      <c r="G758" t="s">
        <v>90</v>
      </c>
      <c r="H758">
        <v>1</v>
      </c>
      <c r="I758">
        <v>3650</v>
      </c>
      <c r="J758" t="s">
        <v>61</v>
      </c>
      <c r="K758" t="s">
        <v>19</v>
      </c>
      <c r="L758" s="5">
        <f t="shared" si="11"/>
        <v>3650</v>
      </c>
    </row>
    <row r="759" spans="1:12" x14ac:dyDescent="0.3">
      <c r="A759" t="s">
        <v>1186</v>
      </c>
      <c r="B759" t="s">
        <v>359</v>
      </c>
      <c r="C759" s="2">
        <v>45702</v>
      </c>
      <c r="D759" t="s">
        <v>14</v>
      </c>
      <c r="E759" t="s">
        <v>99</v>
      </c>
      <c r="F759" t="s">
        <v>23</v>
      </c>
      <c r="G759" t="s">
        <v>140</v>
      </c>
      <c r="H759">
        <v>3</v>
      </c>
      <c r="I759">
        <v>45150</v>
      </c>
      <c r="J759" t="s">
        <v>115</v>
      </c>
      <c r="K759" t="s">
        <v>19</v>
      </c>
      <c r="L759" s="5">
        <f t="shared" si="11"/>
        <v>135450</v>
      </c>
    </row>
    <row r="760" spans="1:12" x14ac:dyDescent="0.3">
      <c r="A760" t="s">
        <v>1187</v>
      </c>
      <c r="B760" t="s">
        <v>370</v>
      </c>
      <c r="C760" s="2">
        <v>45847</v>
      </c>
      <c r="D760" t="s">
        <v>14</v>
      </c>
      <c r="E760" t="s">
        <v>51</v>
      </c>
      <c r="F760" t="s">
        <v>29</v>
      </c>
      <c r="G760" t="s">
        <v>96</v>
      </c>
      <c r="H760">
        <v>2</v>
      </c>
      <c r="I760">
        <v>6200</v>
      </c>
      <c r="J760" t="s">
        <v>61</v>
      </c>
      <c r="K760" t="s">
        <v>19</v>
      </c>
      <c r="L760" s="5">
        <f t="shared" si="11"/>
        <v>12400</v>
      </c>
    </row>
    <row r="761" spans="1:12" x14ac:dyDescent="0.3">
      <c r="A761" t="s">
        <v>1188</v>
      </c>
      <c r="B761" t="s">
        <v>791</v>
      </c>
      <c r="C761" s="2">
        <v>45977</v>
      </c>
      <c r="D761" t="s">
        <v>33</v>
      </c>
      <c r="E761" t="s">
        <v>34</v>
      </c>
      <c r="F761" t="s">
        <v>29</v>
      </c>
      <c r="G761" t="s">
        <v>30</v>
      </c>
      <c r="H761">
        <v>2</v>
      </c>
      <c r="I761">
        <v>4500</v>
      </c>
      <c r="J761" t="s">
        <v>35</v>
      </c>
      <c r="K761" t="s">
        <v>19</v>
      </c>
      <c r="L761" s="5">
        <f t="shared" si="11"/>
        <v>9000</v>
      </c>
    </row>
    <row r="762" spans="1:12" x14ac:dyDescent="0.3">
      <c r="A762" t="s">
        <v>1189</v>
      </c>
      <c r="B762" t="s">
        <v>1190</v>
      </c>
      <c r="C762" s="2">
        <v>45968</v>
      </c>
      <c r="D762" t="s">
        <v>33</v>
      </c>
      <c r="E762" t="s">
        <v>68</v>
      </c>
      <c r="F762" t="s">
        <v>23</v>
      </c>
      <c r="G762" t="s">
        <v>193</v>
      </c>
      <c r="H762">
        <v>2</v>
      </c>
      <c r="I762">
        <v>28000</v>
      </c>
      <c r="J762" t="s">
        <v>35</v>
      </c>
      <c r="K762" t="s">
        <v>19</v>
      </c>
      <c r="L762" s="5">
        <f t="shared" si="11"/>
        <v>56000</v>
      </c>
    </row>
    <row r="763" spans="1:12" x14ac:dyDescent="0.3">
      <c r="A763" t="s">
        <v>1191</v>
      </c>
      <c r="B763" t="s">
        <v>777</v>
      </c>
      <c r="C763" s="2">
        <v>45984</v>
      </c>
      <c r="D763" t="s">
        <v>33</v>
      </c>
      <c r="E763" t="s">
        <v>34</v>
      </c>
      <c r="F763" t="s">
        <v>23</v>
      </c>
      <c r="G763" t="s">
        <v>140</v>
      </c>
      <c r="H763">
        <v>1</v>
      </c>
      <c r="I763">
        <v>24600</v>
      </c>
      <c r="J763" t="s">
        <v>18</v>
      </c>
      <c r="K763" t="s">
        <v>127</v>
      </c>
      <c r="L763" s="5">
        <f t="shared" si="11"/>
        <v>24600</v>
      </c>
    </row>
    <row r="764" spans="1:12" x14ac:dyDescent="0.3">
      <c r="A764" t="s">
        <v>1192</v>
      </c>
      <c r="B764" t="s">
        <v>1193</v>
      </c>
      <c r="C764" s="2">
        <v>45740</v>
      </c>
      <c r="D764" t="s">
        <v>46</v>
      </c>
      <c r="E764" t="s">
        <v>75</v>
      </c>
      <c r="F764" t="s">
        <v>23</v>
      </c>
      <c r="G764" t="s">
        <v>193</v>
      </c>
      <c r="H764">
        <v>3</v>
      </c>
      <c r="I764">
        <v>6150</v>
      </c>
      <c r="J764" t="s">
        <v>35</v>
      </c>
      <c r="K764" t="s">
        <v>69</v>
      </c>
      <c r="L764" s="5">
        <f t="shared" si="11"/>
        <v>18450</v>
      </c>
    </row>
    <row r="765" spans="1:12" x14ac:dyDescent="0.3">
      <c r="A765" t="s">
        <v>1194</v>
      </c>
      <c r="B765" t="s">
        <v>1195</v>
      </c>
      <c r="C765" s="2">
        <v>45672</v>
      </c>
      <c r="D765" t="s">
        <v>46</v>
      </c>
      <c r="E765" t="s">
        <v>72</v>
      </c>
      <c r="F765" t="s">
        <v>29</v>
      </c>
      <c r="G765" t="s">
        <v>100</v>
      </c>
      <c r="H765">
        <v>3</v>
      </c>
      <c r="I765">
        <v>1100</v>
      </c>
      <c r="J765" t="s">
        <v>35</v>
      </c>
      <c r="K765" t="s">
        <v>19</v>
      </c>
      <c r="L765" s="5">
        <f t="shared" si="11"/>
        <v>3300</v>
      </c>
    </row>
    <row r="766" spans="1:12" x14ac:dyDescent="0.3">
      <c r="A766" t="s">
        <v>1196</v>
      </c>
      <c r="B766" t="s">
        <v>1197</v>
      </c>
      <c r="C766" s="2">
        <v>45781</v>
      </c>
      <c r="D766" t="s">
        <v>14</v>
      </c>
      <c r="E766" t="s">
        <v>28</v>
      </c>
      <c r="F766" t="s">
        <v>29</v>
      </c>
      <c r="G766" t="s">
        <v>90</v>
      </c>
      <c r="H766">
        <v>4</v>
      </c>
      <c r="I766">
        <v>4000</v>
      </c>
      <c r="J766" t="s">
        <v>35</v>
      </c>
      <c r="K766" t="s">
        <v>69</v>
      </c>
      <c r="L766" s="5">
        <f t="shared" si="11"/>
        <v>16000</v>
      </c>
    </row>
    <row r="767" spans="1:12" x14ac:dyDescent="0.3">
      <c r="A767" t="s">
        <v>1198</v>
      </c>
      <c r="B767" t="s">
        <v>195</v>
      </c>
      <c r="C767" s="2">
        <v>45983</v>
      </c>
      <c r="D767" t="s">
        <v>46</v>
      </c>
      <c r="E767" t="s">
        <v>75</v>
      </c>
      <c r="F767" t="s">
        <v>39</v>
      </c>
      <c r="G767" t="s">
        <v>52</v>
      </c>
      <c r="H767">
        <v>4</v>
      </c>
      <c r="I767">
        <v>9050</v>
      </c>
      <c r="J767" t="s">
        <v>18</v>
      </c>
      <c r="K767" t="s">
        <v>19</v>
      </c>
      <c r="L767" s="5">
        <f t="shared" si="11"/>
        <v>36200</v>
      </c>
    </row>
    <row r="768" spans="1:12" x14ac:dyDescent="0.3">
      <c r="A768" t="s">
        <v>1199</v>
      </c>
      <c r="B768" t="s">
        <v>181</v>
      </c>
      <c r="C768" s="2">
        <v>45810</v>
      </c>
      <c r="D768" t="s">
        <v>33</v>
      </c>
      <c r="E768" t="s">
        <v>68</v>
      </c>
      <c r="F768" t="s">
        <v>16</v>
      </c>
      <c r="G768" t="s">
        <v>81</v>
      </c>
      <c r="H768">
        <v>5</v>
      </c>
      <c r="I768">
        <v>5700</v>
      </c>
      <c r="J768" t="s">
        <v>41</v>
      </c>
      <c r="K768" t="s">
        <v>19</v>
      </c>
      <c r="L768" s="5">
        <f t="shared" si="11"/>
        <v>28500</v>
      </c>
    </row>
    <row r="769" spans="1:12" x14ac:dyDescent="0.3">
      <c r="A769" t="s">
        <v>1200</v>
      </c>
      <c r="B769" t="s">
        <v>538</v>
      </c>
      <c r="C769" s="2">
        <v>45709</v>
      </c>
      <c r="D769" t="s">
        <v>33</v>
      </c>
      <c r="E769" t="s">
        <v>38</v>
      </c>
      <c r="F769" t="s">
        <v>29</v>
      </c>
      <c r="G769" t="s">
        <v>100</v>
      </c>
      <c r="H769">
        <v>2</v>
      </c>
      <c r="I769">
        <v>6050</v>
      </c>
      <c r="J769" t="s">
        <v>18</v>
      </c>
      <c r="K769" t="s">
        <v>19</v>
      </c>
      <c r="L769" s="5">
        <f t="shared" si="11"/>
        <v>12100</v>
      </c>
    </row>
    <row r="770" spans="1:12" x14ac:dyDescent="0.3">
      <c r="A770" t="s">
        <v>1201</v>
      </c>
      <c r="B770" t="s">
        <v>1202</v>
      </c>
      <c r="C770" s="2">
        <v>45743</v>
      </c>
      <c r="D770" t="s">
        <v>64</v>
      </c>
      <c r="E770" t="s">
        <v>93</v>
      </c>
      <c r="F770" t="s">
        <v>23</v>
      </c>
      <c r="G770" t="s">
        <v>56</v>
      </c>
      <c r="H770">
        <v>1</v>
      </c>
      <c r="I770">
        <v>36300</v>
      </c>
      <c r="J770" t="s">
        <v>18</v>
      </c>
      <c r="K770" t="s">
        <v>69</v>
      </c>
      <c r="L770" s="5">
        <f t="shared" si="11"/>
        <v>36300</v>
      </c>
    </row>
    <row r="771" spans="1:12" x14ac:dyDescent="0.3">
      <c r="A771" t="s">
        <v>1203</v>
      </c>
      <c r="B771" t="s">
        <v>133</v>
      </c>
      <c r="C771" s="2">
        <v>45811</v>
      </c>
      <c r="D771" t="s">
        <v>33</v>
      </c>
      <c r="E771" t="s">
        <v>80</v>
      </c>
      <c r="F771" t="s">
        <v>29</v>
      </c>
      <c r="G771" t="s">
        <v>90</v>
      </c>
      <c r="H771">
        <v>3</v>
      </c>
      <c r="I771">
        <v>1850</v>
      </c>
      <c r="J771" t="s">
        <v>18</v>
      </c>
      <c r="K771" t="s">
        <v>19</v>
      </c>
      <c r="L771" s="5">
        <f t="shared" ref="L771:L834" si="12">H771*I771</f>
        <v>5550</v>
      </c>
    </row>
    <row r="772" spans="1:12" x14ac:dyDescent="0.3">
      <c r="A772" t="s">
        <v>1204</v>
      </c>
      <c r="B772" t="s">
        <v>74</v>
      </c>
      <c r="C772" s="2">
        <v>45877</v>
      </c>
      <c r="D772" t="s">
        <v>33</v>
      </c>
      <c r="E772" t="s">
        <v>34</v>
      </c>
      <c r="F772" t="s">
        <v>29</v>
      </c>
      <c r="G772" t="s">
        <v>30</v>
      </c>
      <c r="H772">
        <v>1</v>
      </c>
      <c r="I772">
        <v>7100</v>
      </c>
      <c r="J772" t="s">
        <v>35</v>
      </c>
      <c r="K772" t="s">
        <v>69</v>
      </c>
      <c r="L772" s="5">
        <f t="shared" si="12"/>
        <v>7100</v>
      </c>
    </row>
    <row r="773" spans="1:12" x14ac:dyDescent="0.3">
      <c r="A773" t="s">
        <v>1205</v>
      </c>
      <c r="B773" t="s">
        <v>669</v>
      </c>
      <c r="C773" s="2">
        <v>45748</v>
      </c>
      <c r="D773" t="s">
        <v>46</v>
      </c>
      <c r="E773" t="s">
        <v>75</v>
      </c>
      <c r="F773" t="s">
        <v>39</v>
      </c>
      <c r="G773" t="s">
        <v>87</v>
      </c>
      <c r="H773">
        <v>3</v>
      </c>
      <c r="I773">
        <v>9150</v>
      </c>
      <c r="J773" t="s">
        <v>41</v>
      </c>
      <c r="K773" t="s">
        <v>19</v>
      </c>
      <c r="L773" s="5">
        <f t="shared" si="12"/>
        <v>27450</v>
      </c>
    </row>
    <row r="774" spans="1:12" x14ac:dyDescent="0.3">
      <c r="A774" t="s">
        <v>1206</v>
      </c>
      <c r="B774" t="s">
        <v>223</v>
      </c>
      <c r="C774" s="2">
        <v>45751</v>
      </c>
      <c r="D774" t="s">
        <v>14</v>
      </c>
      <c r="E774" t="s">
        <v>28</v>
      </c>
      <c r="F774" t="s">
        <v>59</v>
      </c>
      <c r="G774" t="s">
        <v>163</v>
      </c>
      <c r="H774">
        <v>1</v>
      </c>
      <c r="I774">
        <v>1900</v>
      </c>
      <c r="J774" t="s">
        <v>35</v>
      </c>
      <c r="K774" t="s">
        <v>19</v>
      </c>
      <c r="L774" s="5">
        <f t="shared" si="12"/>
        <v>1900</v>
      </c>
    </row>
    <row r="775" spans="1:12" x14ac:dyDescent="0.3">
      <c r="A775" t="s">
        <v>1207</v>
      </c>
      <c r="B775" t="s">
        <v>808</v>
      </c>
      <c r="C775" s="2">
        <v>45860</v>
      </c>
      <c r="D775" t="s">
        <v>14</v>
      </c>
      <c r="E775" t="s">
        <v>51</v>
      </c>
      <c r="F775" t="s">
        <v>16</v>
      </c>
      <c r="G775" t="s">
        <v>134</v>
      </c>
      <c r="H775">
        <v>1</v>
      </c>
      <c r="I775">
        <v>8150</v>
      </c>
      <c r="J775" t="s">
        <v>41</v>
      </c>
      <c r="K775" t="s">
        <v>69</v>
      </c>
      <c r="L775" s="5">
        <f t="shared" si="12"/>
        <v>8150</v>
      </c>
    </row>
    <row r="776" spans="1:12" x14ac:dyDescent="0.3">
      <c r="A776" t="s">
        <v>1208</v>
      </c>
      <c r="B776" t="s">
        <v>894</v>
      </c>
      <c r="C776" s="2">
        <v>45843</v>
      </c>
      <c r="D776" t="s">
        <v>14</v>
      </c>
      <c r="E776" t="s">
        <v>28</v>
      </c>
      <c r="F776" t="s">
        <v>29</v>
      </c>
      <c r="G776" t="s">
        <v>90</v>
      </c>
      <c r="H776">
        <v>3</v>
      </c>
      <c r="I776">
        <v>6600</v>
      </c>
      <c r="J776" t="s">
        <v>35</v>
      </c>
      <c r="K776" t="s">
        <v>19</v>
      </c>
      <c r="L776" s="5">
        <f t="shared" si="12"/>
        <v>19800</v>
      </c>
    </row>
    <row r="777" spans="1:12" x14ac:dyDescent="0.3">
      <c r="A777" t="s">
        <v>1209</v>
      </c>
      <c r="B777" t="s">
        <v>739</v>
      </c>
      <c r="C777" s="2">
        <v>45873</v>
      </c>
      <c r="D777" t="s">
        <v>14</v>
      </c>
      <c r="E777" t="s">
        <v>22</v>
      </c>
      <c r="F777" t="s">
        <v>29</v>
      </c>
      <c r="G777" t="s">
        <v>184</v>
      </c>
      <c r="H777">
        <v>2</v>
      </c>
      <c r="I777">
        <v>4450</v>
      </c>
      <c r="J777" t="s">
        <v>41</v>
      </c>
      <c r="K777" t="s">
        <v>19</v>
      </c>
      <c r="L777" s="5">
        <f t="shared" si="12"/>
        <v>8900</v>
      </c>
    </row>
    <row r="778" spans="1:12" x14ac:dyDescent="0.3">
      <c r="A778" t="s">
        <v>1210</v>
      </c>
      <c r="B778" t="s">
        <v>317</v>
      </c>
      <c r="C778" s="2">
        <v>45925</v>
      </c>
      <c r="D778" t="s">
        <v>64</v>
      </c>
      <c r="E778" t="s">
        <v>93</v>
      </c>
      <c r="F778" t="s">
        <v>23</v>
      </c>
      <c r="G778" t="s">
        <v>137</v>
      </c>
      <c r="H778">
        <v>3</v>
      </c>
      <c r="I778">
        <v>35500</v>
      </c>
      <c r="J778" t="s">
        <v>18</v>
      </c>
      <c r="K778" t="s">
        <v>127</v>
      </c>
      <c r="L778" s="5">
        <f t="shared" si="12"/>
        <v>106500</v>
      </c>
    </row>
    <row r="779" spans="1:12" x14ac:dyDescent="0.3">
      <c r="A779" t="s">
        <v>1211</v>
      </c>
      <c r="B779" t="s">
        <v>280</v>
      </c>
      <c r="C779" s="2">
        <v>45944</v>
      </c>
      <c r="D779" t="s">
        <v>64</v>
      </c>
      <c r="E779" t="s">
        <v>93</v>
      </c>
      <c r="F779" t="s">
        <v>29</v>
      </c>
      <c r="G779" t="s">
        <v>96</v>
      </c>
      <c r="H779">
        <v>2</v>
      </c>
      <c r="I779">
        <v>5450</v>
      </c>
      <c r="J779" t="s">
        <v>35</v>
      </c>
      <c r="K779" t="s">
        <v>19</v>
      </c>
      <c r="L779" s="5">
        <f t="shared" si="12"/>
        <v>10900</v>
      </c>
    </row>
    <row r="780" spans="1:12" x14ac:dyDescent="0.3">
      <c r="A780" t="s">
        <v>1212</v>
      </c>
      <c r="B780" t="s">
        <v>310</v>
      </c>
      <c r="C780" s="2">
        <v>45860</v>
      </c>
      <c r="D780" t="s">
        <v>33</v>
      </c>
      <c r="E780" t="s">
        <v>38</v>
      </c>
      <c r="F780" t="s">
        <v>29</v>
      </c>
      <c r="G780" t="s">
        <v>100</v>
      </c>
      <c r="H780">
        <v>3</v>
      </c>
      <c r="I780">
        <v>6150</v>
      </c>
      <c r="J780" t="s">
        <v>41</v>
      </c>
      <c r="K780" t="s">
        <v>69</v>
      </c>
      <c r="L780" s="5">
        <f t="shared" si="12"/>
        <v>18450</v>
      </c>
    </row>
    <row r="781" spans="1:12" x14ac:dyDescent="0.3">
      <c r="A781" t="s">
        <v>1213</v>
      </c>
      <c r="B781" t="s">
        <v>501</v>
      </c>
      <c r="C781" s="2">
        <v>45762</v>
      </c>
      <c r="D781" t="s">
        <v>64</v>
      </c>
      <c r="E781" t="s">
        <v>86</v>
      </c>
      <c r="F781" t="s">
        <v>16</v>
      </c>
      <c r="G781" t="s">
        <v>134</v>
      </c>
      <c r="H781">
        <v>3</v>
      </c>
      <c r="I781">
        <v>6250</v>
      </c>
      <c r="J781" t="s">
        <v>18</v>
      </c>
      <c r="K781" t="s">
        <v>127</v>
      </c>
      <c r="L781" s="5">
        <f t="shared" si="12"/>
        <v>18750</v>
      </c>
    </row>
    <row r="782" spans="1:12" x14ac:dyDescent="0.3">
      <c r="A782" t="s">
        <v>1214</v>
      </c>
      <c r="B782" t="s">
        <v>1164</v>
      </c>
      <c r="C782" s="2">
        <v>45914</v>
      </c>
      <c r="D782" t="s">
        <v>33</v>
      </c>
      <c r="E782" t="s">
        <v>38</v>
      </c>
      <c r="F782" t="s">
        <v>23</v>
      </c>
      <c r="G782" t="s">
        <v>140</v>
      </c>
      <c r="H782">
        <v>1</v>
      </c>
      <c r="I782">
        <v>10350</v>
      </c>
      <c r="J782" t="s">
        <v>35</v>
      </c>
      <c r="K782" t="s">
        <v>19</v>
      </c>
      <c r="L782" s="5">
        <f t="shared" si="12"/>
        <v>10350</v>
      </c>
    </row>
    <row r="783" spans="1:12" x14ac:dyDescent="0.3">
      <c r="A783" t="s">
        <v>1215</v>
      </c>
      <c r="B783" t="s">
        <v>389</v>
      </c>
      <c r="C783" s="2">
        <v>45943</v>
      </c>
      <c r="D783" t="s">
        <v>64</v>
      </c>
      <c r="E783" t="s">
        <v>93</v>
      </c>
      <c r="F783" t="s">
        <v>59</v>
      </c>
      <c r="G783" t="s">
        <v>163</v>
      </c>
      <c r="H783">
        <v>1</v>
      </c>
      <c r="I783">
        <v>1650</v>
      </c>
      <c r="J783" t="s">
        <v>115</v>
      </c>
      <c r="K783" t="s">
        <v>19</v>
      </c>
      <c r="L783" s="5">
        <f t="shared" si="12"/>
        <v>1650</v>
      </c>
    </row>
    <row r="784" spans="1:12" x14ac:dyDescent="0.3">
      <c r="A784" t="s">
        <v>1216</v>
      </c>
      <c r="B784" t="s">
        <v>254</v>
      </c>
      <c r="C784" s="2">
        <v>45683</v>
      </c>
      <c r="D784" t="s">
        <v>14</v>
      </c>
      <c r="E784" t="s">
        <v>15</v>
      </c>
      <c r="F784" t="s">
        <v>23</v>
      </c>
      <c r="G784" t="s">
        <v>140</v>
      </c>
      <c r="H784">
        <v>2</v>
      </c>
      <c r="I784">
        <v>54100</v>
      </c>
      <c r="J784" t="s">
        <v>35</v>
      </c>
      <c r="K784" t="s">
        <v>19</v>
      </c>
      <c r="L784" s="5">
        <f t="shared" si="12"/>
        <v>108200</v>
      </c>
    </row>
    <row r="785" spans="1:12" x14ac:dyDescent="0.3">
      <c r="A785" t="s">
        <v>1217</v>
      </c>
      <c r="B785" t="s">
        <v>217</v>
      </c>
      <c r="C785" s="2">
        <v>45942</v>
      </c>
      <c r="D785" t="s">
        <v>14</v>
      </c>
      <c r="E785" t="s">
        <v>28</v>
      </c>
      <c r="F785" t="s">
        <v>23</v>
      </c>
      <c r="G785" t="s">
        <v>56</v>
      </c>
      <c r="H785">
        <v>2</v>
      </c>
      <c r="I785">
        <v>1850</v>
      </c>
      <c r="J785" t="s">
        <v>41</v>
      </c>
      <c r="K785" t="s">
        <v>19</v>
      </c>
      <c r="L785" s="5">
        <f t="shared" si="12"/>
        <v>3700</v>
      </c>
    </row>
    <row r="786" spans="1:12" x14ac:dyDescent="0.3">
      <c r="A786" t="s">
        <v>1218</v>
      </c>
      <c r="B786" t="s">
        <v>117</v>
      </c>
      <c r="C786" s="2">
        <v>45683</v>
      </c>
      <c r="D786" t="s">
        <v>64</v>
      </c>
      <c r="E786" t="s">
        <v>86</v>
      </c>
      <c r="F786" t="s">
        <v>29</v>
      </c>
      <c r="G786" t="s">
        <v>30</v>
      </c>
      <c r="H786">
        <v>2</v>
      </c>
      <c r="I786">
        <v>2050</v>
      </c>
      <c r="J786" t="s">
        <v>61</v>
      </c>
      <c r="K786" t="s">
        <v>19</v>
      </c>
      <c r="L786" s="5">
        <f t="shared" si="12"/>
        <v>4100</v>
      </c>
    </row>
    <row r="787" spans="1:12" x14ac:dyDescent="0.3">
      <c r="A787" t="s">
        <v>1219</v>
      </c>
      <c r="B787" t="s">
        <v>356</v>
      </c>
      <c r="C787" s="2">
        <v>45947</v>
      </c>
      <c r="D787" t="s">
        <v>64</v>
      </c>
      <c r="E787" t="s">
        <v>86</v>
      </c>
      <c r="F787" t="s">
        <v>29</v>
      </c>
      <c r="G787" t="s">
        <v>184</v>
      </c>
      <c r="H787">
        <v>1</v>
      </c>
      <c r="I787">
        <v>2700</v>
      </c>
      <c r="J787" t="s">
        <v>18</v>
      </c>
      <c r="K787" t="s">
        <v>19</v>
      </c>
      <c r="L787" s="5">
        <f t="shared" si="12"/>
        <v>2700</v>
      </c>
    </row>
    <row r="788" spans="1:12" x14ac:dyDescent="0.3">
      <c r="A788" t="s">
        <v>1220</v>
      </c>
      <c r="B788" t="s">
        <v>219</v>
      </c>
      <c r="C788" s="2">
        <v>45803</v>
      </c>
      <c r="D788" t="s">
        <v>46</v>
      </c>
      <c r="E788" t="s">
        <v>75</v>
      </c>
      <c r="F788" t="s">
        <v>39</v>
      </c>
      <c r="G788" t="s">
        <v>146</v>
      </c>
      <c r="H788">
        <v>1</v>
      </c>
      <c r="I788">
        <v>2800</v>
      </c>
      <c r="J788" t="s">
        <v>18</v>
      </c>
      <c r="K788" t="s">
        <v>19</v>
      </c>
      <c r="L788" s="5">
        <f t="shared" si="12"/>
        <v>2800</v>
      </c>
    </row>
    <row r="789" spans="1:12" x14ac:dyDescent="0.3">
      <c r="A789" t="s">
        <v>1221</v>
      </c>
      <c r="B789" t="s">
        <v>1222</v>
      </c>
      <c r="C789" s="2">
        <v>45694</v>
      </c>
      <c r="D789" t="s">
        <v>14</v>
      </c>
      <c r="E789" t="s">
        <v>22</v>
      </c>
      <c r="F789" t="s">
        <v>39</v>
      </c>
      <c r="G789" t="s">
        <v>87</v>
      </c>
      <c r="H789">
        <v>1</v>
      </c>
      <c r="I789">
        <v>1350</v>
      </c>
      <c r="J789" t="s">
        <v>18</v>
      </c>
      <c r="K789" t="s">
        <v>19</v>
      </c>
      <c r="L789" s="5">
        <f t="shared" si="12"/>
        <v>1350</v>
      </c>
    </row>
    <row r="790" spans="1:12" x14ac:dyDescent="0.3">
      <c r="A790" t="s">
        <v>1223</v>
      </c>
      <c r="B790" t="s">
        <v>181</v>
      </c>
      <c r="C790" s="2">
        <v>45896</v>
      </c>
      <c r="D790" t="s">
        <v>14</v>
      </c>
      <c r="E790" t="s">
        <v>15</v>
      </c>
      <c r="F790" t="s">
        <v>39</v>
      </c>
      <c r="G790" t="s">
        <v>52</v>
      </c>
      <c r="H790">
        <v>1</v>
      </c>
      <c r="I790">
        <v>1350</v>
      </c>
      <c r="J790" t="s">
        <v>18</v>
      </c>
      <c r="K790" t="s">
        <v>25</v>
      </c>
      <c r="L790" s="5">
        <f t="shared" si="12"/>
        <v>1350</v>
      </c>
    </row>
    <row r="791" spans="1:12" x14ac:dyDescent="0.3">
      <c r="A791" t="s">
        <v>1224</v>
      </c>
      <c r="B791" t="s">
        <v>359</v>
      </c>
      <c r="C791" s="2">
        <v>45910</v>
      </c>
      <c r="D791" t="s">
        <v>14</v>
      </c>
      <c r="E791" t="s">
        <v>22</v>
      </c>
      <c r="F791" t="s">
        <v>16</v>
      </c>
      <c r="G791" t="s">
        <v>48</v>
      </c>
      <c r="H791">
        <v>1</v>
      </c>
      <c r="I791">
        <v>3250</v>
      </c>
      <c r="J791" t="s">
        <v>41</v>
      </c>
      <c r="K791" t="s">
        <v>69</v>
      </c>
      <c r="L791" s="5">
        <f t="shared" si="12"/>
        <v>3250</v>
      </c>
    </row>
    <row r="792" spans="1:12" x14ac:dyDescent="0.3">
      <c r="A792" t="s">
        <v>1225</v>
      </c>
      <c r="B792" t="s">
        <v>1226</v>
      </c>
      <c r="C792" s="2">
        <v>45699</v>
      </c>
      <c r="D792" t="s">
        <v>14</v>
      </c>
      <c r="E792" t="s">
        <v>22</v>
      </c>
      <c r="F792" t="s">
        <v>23</v>
      </c>
      <c r="G792" t="s">
        <v>193</v>
      </c>
      <c r="H792">
        <v>2</v>
      </c>
      <c r="I792">
        <v>8000</v>
      </c>
      <c r="J792" t="s">
        <v>61</v>
      </c>
      <c r="K792" t="s">
        <v>19</v>
      </c>
      <c r="L792" s="5">
        <f t="shared" si="12"/>
        <v>16000</v>
      </c>
    </row>
    <row r="793" spans="1:12" x14ac:dyDescent="0.3">
      <c r="A793" t="s">
        <v>1227</v>
      </c>
      <c r="B793" t="s">
        <v>752</v>
      </c>
      <c r="C793" s="2">
        <v>45713</v>
      </c>
      <c r="D793" t="s">
        <v>64</v>
      </c>
      <c r="E793" t="s">
        <v>93</v>
      </c>
      <c r="F793" t="s">
        <v>29</v>
      </c>
      <c r="G793" t="s">
        <v>30</v>
      </c>
      <c r="H793">
        <v>1</v>
      </c>
      <c r="I793">
        <v>3500</v>
      </c>
      <c r="J793" t="s">
        <v>41</v>
      </c>
      <c r="K793" t="s">
        <v>19</v>
      </c>
      <c r="L793" s="5">
        <f t="shared" si="12"/>
        <v>3500</v>
      </c>
    </row>
    <row r="794" spans="1:12" x14ac:dyDescent="0.3">
      <c r="A794" t="s">
        <v>1228</v>
      </c>
      <c r="B794" t="s">
        <v>1229</v>
      </c>
      <c r="C794" s="2">
        <v>45845</v>
      </c>
      <c r="D794" t="s">
        <v>14</v>
      </c>
      <c r="E794" t="s">
        <v>22</v>
      </c>
      <c r="F794" t="s">
        <v>23</v>
      </c>
      <c r="G794" t="s">
        <v>56</v>
      </c>
      <c r="H794">
        <v>5</v>
      </c>
      <c r="I794">
        <v>37500</v>
      </c>
      <c r="J794" t="s">
        <v>18</v>
      </c>
      <c r="K794" t="s">
        <v>19</v>
      </c>
      <c r="L794" s="5">
        <f t="shared" si="12"/>
        <v>187500</v>
      </c>
    </row>
    <row r="795" spans="1:12" x14ac:dyDescent="0.3">
      <c r="A795" t="s">
        <v>1230</v>
      </c>
      <c r="B795" t="s">
        <v>488</v>
      </c>
      <c r="C795" s="2">
        <v>45705</v>
      </c>
      <c r="D795" t="s">
        <v>64</v>
      </c>
      <c r="E795" t="s">
        <v>99</v>
      </c>
      <c r="F795" t="s">
        <v>23</v>
      </c>
      <c r="G795" t="s">
        <v>193</v>
      </c>
      <c r="H795">
        <v>2</v>
      </c>
      <c r="I795">
        <v>36700</v>
      </c>
      <c r="J795" t="s">
        <v>35</v>
      </c>
      <c r="K795" t="s">
        <v>19</v>
      </c>
      <c r="L795" s="5">
        <f t="shared" si="12"/>
        <v>73400</v>
      </c>
    </row>
    <row r="796" spans="1:12" x14ac:dyDescent="0.3">
      <c r="A796" t="s">
        <v>1231</v>
      </c>
      <c r="B796" t="s">
        <v>209</v>
      </c>
      <c r="C796" s="2">
        <v>45995</v>
      </c>
      <c r="D796" t="s">
        <v>64</v>
      </c>
      <c r="E796" t="s">
        <v>86</v>
      </c>
      <c r="F796" t="s">
        <v>29</v>
      </c>
      <c r="G796" t="s">
        <v>30</v>
      </c>
      <c r="H796">
        <v>3</v>
      </c>
      <c r="I796">
        <v>5000</v>
      </c>
      <c r="J796" t="s">
        <v>18</v>
      </c>
      <c r="K796" t="s">
        <v>19</v>
      </c>
      <c r="L796" s="5">
        <f t="shared" si="12"/>
        <v>15000</v>
      </c>
    </row>
    <row r="797" spans="1:12" x14ac:dyDescent="0.3">
      <c r="A797" t="s">
        <v>1232</v>
      </c>
      <c r="B797" t="s">
        <v>785</v>
      </c>
      <c r="C797" s="2">
        <v>45691</v>
      </c>
      <c r="D797" t="s">
        <v>33</v>
      </c>
      <c r="E797" t="s">
        <v>80</v>
      </c>
      <c r="F797" t="s">
        <v>29</v>
      </c>
      <c r="G797" t="s">
        <v>90</v>
      </c>
      <c r="H797">
        <v>1</v>
      </c>
      <c r="I797">
        <v>4200</v>
      </c>
      <c r="J797" t="s">
        <v>35</v>
      </c>
      <c r="K797" t="s">
        <v>69</v>
      </c>
      <c r="L797" s="5">
        <f t="shared" si="12"/>
        <v>4200</v>
      </c>
    </row>
    <row r="798" spans="1:12" x14ac:dyDescent="0.3">
      <c r="A798" t="s">
        <v>1233</v>
      </c>
      <c r="B798" t="s">
        <v>657</v>
      </c>
      <c r="C798" s="2">
        <v>45898</v>
      </c>
      <c r="D798" t="s">
        <v>33</v>
      </c>
      <c r="E798" t="s">
        <v>80</v>
      </c>
      <c r="F798" t="s">
        <v>59</v>
      </c>
      <c r="G798" t="s">
        <v>103</v>
      </c>
      <c r="H798">
        <v>1</v>
      </c>
      <c r="I798">
        <v>1800</v>
      </c>
      <c r="J798" t="s">
        <v>18</v>
      </c>
      <c r="K798" t="s">
        <v>19</v>
      </c>
      <c r="L798" s="5">
        <f t="shared" si="12"/>
        <v>1800</v>
      </c>
    </row>
    <row r="799" spans="1:12" x14ac:dyDescent="0.3">
      <c r="A799" t="s">
        <v>1234</v>
      </c>
      <c r="B799" t="s">
        <v>112</v>
      </c>
      <c r="C799" s="2">
        <v>45780</v>
      </c>
      <c r="D799" t="s">
        <v>14</v>
      </c>
      <c r="E799" t="s">
        <v>51</v>
      </c>
      <c r="F799" t="s">
        <v>23</v>
      </c>
      <c r="G799" t="s">
        <v>137</v>
      </c>
      <c r="H799">
        <v>2</v>
      </c>
      <c r="I799">
        <v>7050</v>
      </c>
      <c r="J799" t="s">
        <v>35</v>
      </c>
      <c r="K799" t="s">
        <v>19</v>
      </c>
      <c r="L799" s="5">
        <f t="shared" si="12"/>
        <v>14100</v>
      </c>
    </row>
    <row r="800" spans="1:12" x14ac:dyDescent="0.3">
      <c r="A800" t="s">
        <v>1235</v>
      </c>
      <c r="B800" t="s">
        <v>1236</v>
      </c>
      <c r="C800" s="2">
        <v>45677</v>
      </c>
      <c r="D800" t="s">
        <v>64</v>
      </c>
      <c r="E800" t="s">
        <v>86</v>
      </c>
      <c r="F800" t="s">
        <v>59</v>
      </c>
      <c r="G800" t="s">
        <v>103</v>
      </c>
      <c r="H800">
        <v>2</v>
      </c>
      <c r="I800">
        <v>4150</v>
      </c>
      <c r="J800" t="s">
        <v>18</v>
      </c>
      <c r="K800" t="s">
        <v>19</v>
      </c>
      <c r="L800" s="5">
        <f t="shared" si="12"/>
        <v>8300</v>
      </c>
    </row>
    <row r="801" spans="1:12" x14ac:dyDescent="0.3">
      <c r="A801" t="s">
        <v>1237</v>
      </c>
      <c r="B801" t="s">
        <v>648</v>
      </c>
      <c r="C801" s="2">
        <v>45700</v>
      </c>
      <c r="D801" t="s">
        <v>14</v>
      </c>
      <c r="E801" t="s">
        <v>15</v>
      </c>
      <c r="F801" t="s">
        <v>59</v>
      </c>
      <c r="G801" t="s">
        <v>322</v>
      </c>
      <c r="H801">
        <v>4</v>
      </c>
      <c r="I801">
        <v>2750</v>
      </c>
      <c r="J801" t="s">
        <v>41</v>
      </c>
      <c r="K801" t="s">
        <v>127</v>
      </c>
      <c r="L801" s="5">
        <f t="shared" si="12"/>
        <v>11000</v>
      </c>
    </row>
    <row r="802" spans="1:12" x14ac:dyDescent="0.3">
      <c r="A802" t="s">
        <v>1238</v>
      </c>
      <c r="B802" t="s">
        <v>562</v>
      </c>
      <c r="C802" s="2">
        <v>45672</v>
      </c>
      <c r="D802" t="s">
        <v>64</v>
      </c>
      <c r="E802" t="s">
        <v>86</v>
      </c>
      <c r="F802" t="s">
        <v>59</v>
      </c>
      <c r="G802" t="s">
        <v>322</v>
      </c>
      <c r="H802">
        <v>1</v>
      </c>
      <c r="I802">
        <v>2700</v>
      </c>
      <c r="J802" t="s">
        <v>115</v>
      </c>
      <c r="K802" t="s">
        <v>19</v>
      </c>
      <c r="L802" s="5">
        <f t="shared" si="12"/>
        <v>2700</v>
      </c>
    </row>
    <row r="803" spans="1:12" x14ac:dyDescent="0.3">
      <c r="A803" t="s">
        <v>1239</v>
      </c>
      <c r="B803" t="s">
        <v>276</v>
      </c>
      <c r="C803" s="2">
        <v>45934</v>
      </c>
      <c r="D803" t="s">
        <v>46</v>
      </c>
      <c r="E803" t="s">
        <v>47</v>
      </c>
      <c r="F803" t="s">
        <v>29</v>
      </c>
      <c r="G803" t="s">
        <v>90</v>
      </c>
      <c r="H803">
        <v>1</v>
      </c>
      <c r="I803">
        <v>3350</v>
      </c>
      <c r="J803" t="s">
        <v>35</v>
      </c>
      <c r="K803" t="s">
        <v>19</v>
      </c>
      <c r="L803" s="5">
        <f t="shared" si="12"/>
        <v>3350</v>
      </c>
    </row>
    <row r="804" spans="1:12" x14ac:dyDescent="0.3">
      <c r="A804" t="s">
        <v>1240</v>
      </c>
      <c r="B804" t="s">
        <v>693</v>
      </c>
      <c r="C804" s="2">
        <v>45983</v>
      </c>
      <c r="D804" t="s">
        <v>14</v>
      </c>
      <c r="E804" t="s">
        <v>22</v>
      </c>
      <c r="F804" t="s">
        <v>29</v>
      </c>
      <c r="G804" t="s">
        <v>90</v>
      </c>
      <c r="H804">
        <v>1</v>
      </c>
      <c r="I804">
        <v>4300</v>
      </c>
      <c r="J804" t="s">
        <v>61</v>
      </c>
      <c r="K804" t="s">
        <v>19</v>
      </c>
      <c r="L804" s="5">
        <f t="shared" si="12"/>
        <v>4300</v>
      </c>
    </row>
    <row r="805" spans="1:12" x14ac:dyDescent="0.3">
      <c r="A805" t="s">
        <v>1241</v>
      </c>
      <c r="B805" t="s">
        <v>628</v>
      </c>
      <c r="C805" s="2">
        <v>45810</v>
      </c>
      <c r="D805" t="s">
        <v>33</v>
      </c>
      <c r="E805" t="s">
        <v>68</v>
      </c>
      <c r="F805" t="s">
        <v>23</v>
      </c>
      <c r="G805" t="s">
        <v>193</v>
      </c>
      <c r="H805">
        <v>3</v>
      </c>
      <c r="I805">
        <v>59100</v>
      </c>
      <c r="J805" t="s">
        <v>18</v>
      </c>
      <c r="K805" t="s">
        <v>19</v>
      </c>
      <c r="L805" s="5">
        <f t="shared" si="12"/>
        <v>177300</v>
      </c>
    </row>
    <row r="806" spans="1:12" x14ac:dyDescent="0.3">
      <c r="A806" t="s">
        <v>1242</v>
      </c>
      <c r="B806" t="s">
        <v>1243</v>
      </c>
      <c r="C806" s="2">
        <v>45874</v>
      </c>
      <c r="D806" t="s">
        <v>14</v>
      </c>
      <c r="E806" t="s">
        <v>51</v>
      </c>
      <c r="F806" t="s">
        <v>39</v>
      </c>
      <c r="G806" t="s">
        <v>40</v>
      </c>
      <c r="H806">
        <v>1</v>
      </c>
      <c r="I806">
        <v>9600</v>
      </c>
      <c r="J806" t="s">
        <v>41</v>
      </c>
      <c r="K806" t="s">
        <v>19</v>
      </c>
      <c r="L806" s="5">
        <f t="shared" si="12"/>
        <v>9600</v>
      </c>
    </row>
    <row r="807" spans="1:12" x14ac:dyDescent="0.3">
      <c r="A807" t="s">
        <v>1244</v>
      </c>
      <c r="B807" t="s">
        <v>1137</v>
      </c>
      <c r="C807" s="2">
        <v>45954</v>
      </c>
      <c r="D807" t="s">
        <v>46</v>
      </c>
      <c r="E807" t="s">
        <v>72</v>
      </c>
      <c r="F807" t="s">
        <v>23</v>
      </c>
      <c r="G807" t="s">
        <v>56</v>
      </c>
      <c r="H807">
        <v>2</v>
      </c>
      <c r="I807">
        <v>28200</v>
      </c>
      <c r="J807" t="s">
        <v>18</v>
      </c>
      <c r="K807" t="s">
        <v>19</v>
      </c>
      <c r="L807" s="5">
        <f t="shared" si="12"/>
        <v>56400</v>
      </c>
    </row>
    <row r="808" spans="1:12" x14ac:dyDescent="0.3">
      <c r="A808" t="s">
        <v>1245</v>
      </c>
      <c r="B808" t="s">
        <v>119</v>
      </c>
      <c r="C808" s="2">
        <v>45988</v>
      </c>
      <c r="D808" t="s">
        <v>14</v>
      </c>
      <c r="E808" t="s">
        <v>51</v>
      </c>
      <c r="F808" t="s">
        <v>16</v>
      </c>
      <c r="G808" t="s">
        <v>48</v>
      </c>
      <c r="H808">
        <v>1</v>
      </c>
      <c r="I808">
        <v>350</v>
      </c>
      <c r="J808" t="s">
        <v>41</v>
      </c>
      <c r="K808" t="s">
        <v>127</v>
      </c>
      <c r="L808" s="5">
        <f t="shared" si="12"/>
        <v>350</v>
      </c>
    </row>
    <row r="809" spans="1:12" x14ac:dyDescent="0.3">
      <c r="A809" t="s">
        <v>1246</v>
      </c>
      <c r="B809" t="s">
        <v>1247</v>
      </c>
      <c r="C809" s="2">
        <v>45896</v>
      </c>
      <c r="D809" t="s">
        <v>14</v>
      </c>
      <c r="E809" t="s">
        <v>15</v>
      </c>
      <c r="F809" t="s">
        <v>39</v>
      </c>
      <c r="G809" t="s">
        <v>44</v>
      </c>
      <c r="H809">
        <v>2</v>
      </c>
      <c r="I809">
        <v>5100</v>
      </c>
      <c r="J809" t="s">
        <v>41</v>
      </c>
      <c r="K809" t="s">
        <v>19</v>
      </c>
      <c r="L809" s="5">
        <f t="shared" si="12"/>
        <v>10200</v>
      </c>
    </row>
    <row r="810" spans="1:12" x14ac:dyDescent="0.3">
      <c r="A810" t="s">
        <v>1248</v>
      </c>
      <c r="B810" t="s">
        <v>1249</v>
      </c>
      <c r="C810" s="2">
        <v>45676</v>
      </c>
      <c r="D810" t="s">
        <v>46</v>
      </c>
      <c r="E810" t="s">
        <v>47</v>
      </c>
      <c r="F810" t="s">
        <v>59</v>
      </c>
      <c r="G810" t="s">
        <v>103</v>
      </c>
      <c r="H810">
        <v>3</v>
      </c>
      <c r="I810">
        <v>750</v>
      </c>
      <c r="J810" t="s">
        <v>41</v>
      </c>
      <c r="K810" t="s">
        <v>19</v>
      </c>
      <c r="L810" s="5">
        <f t="shared" si="12"/>
        <v>2250</v>
      </c>
    </row>
    <row r="811" spans="1:12" x14ac:dyDescent="0.3">
      <c r="A811" t="s">
        <v>1250</v>
      </c>
      <c r="B811" t="s">
        <v>1251</v>
      </c>
      <c r="C811" s="2">
        <v>45822</v>
      </c>
      <c r="D811" t="s">
        <v>14</v>
      </c>
      <c r="E811" t="s">
        <v>28</v>
      </c>
      <c r="F811" t="s">
        <v>39</v>
      </c>
      <c r="G811" t="s">
        <v>87</v>
      </c>
      <c r="H811">
        <v>1</v>
      </c>
      <c r="I811">
        <v>3900</v>
      </c>
      <c r="J811" t="s">
        <v>61</v>
      </c>
      <c r="K811" t="s">
        <v>19</v>
      </c>
      <c r="L811" s="5">
        <f t="shared" si="12"/>
        <v>3900</v>
      </c>
    </row>
    <row r="812" spans="1:12" x14ac:dyDescent="0.3">
      <c r="A812" t="s">
        <v>1252</v>
      </c>
      <c r="B812" t="s">
        <v>869</v>
      </c>
      <c r="C812" s="2">
        <v>45704</v>
      </c>
      <c r="D812" t="s">
        <v>14</v>
      </c>
      <c r="E812" t="s">
        <v>28</v>
      </c>
      <c r="F812" t="s">
        <v>23</v>
      </c>
      <c r="G812" t="s">
        <v>140</v>
      </c>
      <c r="H812">
        <v>2</v>
      </c>
      <c r="I812">
        <v>25100</v>
      </c>
      <c r="J812" t="s">
        <v>35</v>
      </c>
      <c r="K812" t="s">
        <v>19</v>
      </c>
      <c r="L812" s="5">
        <f t="shared" si="12"/>
        <v>50200</v>
      </c>
    </row>
    <row r="813" spans="1:12" x14ac:dyDescent="0.3">
      <c r="A813" t="s">
        <v>1253</v>
      </c>
      <c r="B813" t="s">
        <v>1254</v>
      </c>
      <c r="C813" s="2">
        <v>45734</v>
      </c>
      <c r="D813" t="s">
        <v>14</v>
      </c>
      <c r="E813" t="s">
        <v>15</v>
      </c>
      <c r="F813" t="s">
        <v>59</v>
      </c>
      <c r="G813" t="s">
        <v>60</v>
      </c>
      <c r="H813">
        <v>2</v>
      </c>
      <c r="I813">
        <v>4400</v>
      </c>
      <c r="J813" t="s">
        <v>35</v>
      </c>
      <c r="K813" t="s">
        <v>19</v>
      </c>
      <c r="L813" s="5">
        <f t="shared" si="12"/>
        <v>8800</v>
      </c>
    </row>
    <row r="814" spans="1:12" x14ac:dyDescent="0.3">
      <c r="A814" t="s">
        <v>1255</v>
      </c>
      <c r="B814" t="s">
        <v>399</v>
      </c>
      <c r="C814" s="2">
        <v>45685</v>
      </c>
      <c r="D814" t="s">
        <v>14</v>
      </c>
      <c r="E814" t="s">
        <v>51</v>
      </c>
      <c r="F814" t="s">
        <v>59</v>
      </c>
      <c r="G814" t="s">
        <v>322</v>
      </c>
      <c r="H814">
        <v>1</v>
      </c>
      <c r="I814">
        <v>2650</v>
      </c>
      <c r="J814" t="s">
        <v>18</v>
      </c>
      <c r="K814" t="s">
        <v>19</v>
      </c>
      <c r="L814" s="5">
        <f t="shared" si="12"/>
        <v>2650</v>
      </c>
    </row>
    <row r="815" spans="1:12" x14ac:dyDescent="0.3">
      <c r="A815" t="s">
        <v>1256</v>
      </c>
      <c r="B815" t="s">
        <v>1107</v>
      </c>
      <c r="C815" s="2">
        <v>45690</v>
      </c>
      <c r="D815" t="s">
        <v>64</v>
      </c>
      <c r="E815" t="s">
        <v>99</v>
      </c>
      <c r="F815" t="s">
        <v>59</v>
      </c>
      <c r="G815" t="s">
        <v>322</v>
      </c>
      <c r="H815">
        <v>3</v>
      </c>
      <c r="I815">
        <v>4100</v>
      </c>
      <c r="J815" t="s">
        <v>35</v>
      </c>
      <c r="K815" t="s">
        <v>19</v>
      </c>
      <c r="L815" s="5">
        <f t="shared" si="12"/>
        <v>12300</v>
      </c>
    </row>
    <row r="816" spans="1:12" x14ac:dyDescent="0.3">
      <c r="A816" t="s">
        <v>1257</v>
      </c>
      <c r="B816" t="s">
        <v>421</v>
      </c>
      <c r="C816" s="2">
        <v>45782</v>
      </c>
      <c r="D816" t="s">
        <v>64</v>
      </c>
      <c r="E816" t="s">
        <v>93</v>
      </c>
      <c r="F816" t="s">
        <v>59</v>
      </c>
      <c r="G816" t="s">
        <v>163</v>
      </c>
      <c r="H816">
        <v>2</v>
      </c>
      <c r="I816">
        <v>300</v>
      </c>
      <c r="J816" t="s">
        <v>41</v>
      </c>
      <c r="K816" t="s">
        <v>19</v>
      </c>
      <c r="L816" s="5">
        <f t="shared" si="12"/>
        <v>600</v>
      </c>
    </row>
    <row r="817" spans="1:12" x14ac:dyDescent="0.3">
      <c r="A817" t="s">
        <v>1258</v>
      </c>
      <c r="B817" t="s">
        <v>543</v>
      </c>
      <c r="C817" s="2">
        <v>45672</v>
      </c>
      <c r="D817" t="s">
        <v>64</v>
      </c>
      <c r="E817" t="s">
        <v>93</v>
      </c>
      <c r="F817" t="s">
        <v>59</v>
      </c>
      <c r="G817" t="s">
        <v>60</v>
      </c>
      <c r="H817">
        <v>2</v>
      </c>
      <c r="I817">
        <v>2000</v>
      </c>
      <c r="J817" t="s">
        <v>18</v>
      </c>
      <c r="K817" t="s">
        <v>25</v>
      </c>
      <c r="L817" s="5">
        <f t="shared" si="12"/>
        <v>4000</v>
      </c>
    </row>
    <row r="818" spans="1:12" x14ac:dyDescent="0.3">
      <c r="A818" t="s">
        <v>1259</v>
      </c>
      <c r="B818" t="s">
        <v>382</v>
      </c>
      <c r="C818" s="2">
        <v>45703</v>
      </c>
      <c r="D818" t="s">
        <v>14</v>
      </c>
      <c r="E818" t="s">
        <v>22</v>
      </c>
      <c r="F818" t="s">
        <v>39</v>
      </c>
      <c r="G818" t="s">
        <v>44</v>
      </c>
      <c r="H818">
        <v>3</v>
      </c>
      <c r="I818">
        <v>9100</v>
      </c>
      <c r="J818" t="s">
        <v>41</v>
      </c>
      <c r="K818" t="s">
        <v>19</v>
      </c>
      <c r="L818" s="5">
        <f t="shared" si="12"/>
        <v>27300</v>
      </c>
    </row>
    <row r="819" spans="1:12" x14ac:dyDescent="0.3">
      <c r="A819" t="s">
        <v>1260</v>
      </c>
      <c r="B819" t="s">
        <v>1000</v>
      </c>
      <c r="C819" s="2">
        <v>45723</v>
      </c>
      <c r="D819" t="s">
        <v>33</v>
      </c>
      <c r="E819" t="s">
        <v>68</v>
      </c>
      <c r="F819" t="s">
        <v>29</v>
      </c>
      <c r="G819" t="s">
        <v>100</v>
      </c>
      <c r="H819">
        <v>1</v>
      </c>
      <c r="I819">
        <v>1650</v>
      </c>
      <c r="J819" t="s">
        <v>18</v>
      </c>
      <c r="K819" t="s">
        <v>19</v>
      </c>
      <c r="L819" s="5">
        <f t="shared" si="12"/>
        <v>1650</v>
      </c>
    </row>
    <row r="820" spans="1:12" x14ac:dyDescent="0.3">
      <c r="A820" t="s">
        <v>1261</v>
      </c>
      <c r="B820" t="s">
        <v>343</v>
      </c>
      <c r="C820" s="2">
        <v>45929</v>
      </c>
      <c r="D820" t="s">
        <v>46</v>
      </c>
      <c r="E820" t="s">
        <v>47</v>
      </c>
      <c r="F820" t="s">
        <v>29</v>
      </c>
      <c r="G820" t="s">
        <v>100</v>
      </c>
      <c r="H820">
        <v>1</v>
      </c>
      <c r="I820">
        <v>2900</v>
      </c>
      <c r="J820" t="s">
        <v>61</v>
      </c>
      <c r="K820" t="s">
        <v>19</v>
      </c>
      <c r="L820" s="5">
        <f t="shared" si="12"/>
        <v>2900</v>
      </c>
    </row>
    <row r="821" spans="1:12" x14ac:dyDescent="0.3">
      <c r="A821" t="s">
        <v>1262</v>
      </c>
      <c r="B821" t="s">
        <v>1075</v>
      </c>
      <c r="C821" s="2">
        <v>45995</v>
      </c>
      <c r="D821" t="s">
        <v>46</v>
      </c>
      <c r="E821" t="s">
        <v>72</v>
      </c>
      <c r="F821" t="s">
        <v>16</v>
      </c>
      <c r="G821" t="s">
        <v>17</v>
      </c>
      <c r="H821">
        <v>2</v>
      </c>
      <c r="I821">
        <v>3300</v>
      </c>
      <c r="J821" t="s">
        <v>18</v>
      </c>
      <c r="K821" t="s">
        <v>69</v>
      </c>
      <c r="L821" s="5">
        <f t="shared" si="12"/>
        <v>6600</v>
      </c>
    </row>
    <row r="822" spans="1:12" x14ac:dyDescent="0.3">
      <c r="A822" t="s">
        <v>1263</v>
      </c>
      <c r="B822" t="s">
        <v>675</v>
      </c>
      <c r="C822" s="2">
        <v>46006</v>
      </c>
      <c r="D822" t="s">
        <v>46</v>
      </c>
      <c r="E822" t="s">
        <v>75</v>
      </c>
      <c r="F822" t="s">
        <v>39</v>
      </c>
      <c r="G822" t="s">
        <v>146</v>
      </c>
      <c r="H822">
        <v>1</v>
      </c>
      <c r="I822">
        <v>850</v>
      </c>
      <c r="J822" t="s">
        <v>61</v>
      </c>
      <c r="K822" t="s">
        <v>19</v>
      </c>
      <c r="L822" s="5">
        <f t="shared" si="12"/>
        <v>850</v>
      </c>
    </row>
    <row r="823" spans="1:12" x14ac:dyDescent="0.3">
      <c r="A823" t="s">
        <v>1264</v>
      </c>
      <c r="B823" t="s">
        <v>377</v>
      </c>
      <c r="C823" s="2">
        <v>45680</v>
      </c>
      <c r="D823" t="s">
        <v>14</v>
      </c>
      <c r="E823" t="s">
        <v>22</v>
      </c>
      <c r="F823" t="s">
        <v>16</v>
      </c>
      <c r="G823" t="s">
        <v>17</v>
      </c>
      <c r="H823">
        <v>1</v>
      </c>
      <c r="I823">
        <v>2050</v>
      </c>
      <c r="J823" t="s">
        <v>61</v>
      </c>
      <c r="K823" t="s">
        <v>19</v>
      </c>
      <c r="L823" s="5">
        <f t="shared" si="12"/>
        <v>2050</v>
      </c>
    </row>
    <row r="824" spans="1:12" x14ac:dyDescent="0.3">
      <c r="A824" t="s">
        <v>1265</v>
      </c>
      <c r="B824" t="s">
        <v>557</v>
      </c>
      <c r="C824" s="2">
        <v>45848</v>
      </c>
      <c r="D824" t="s">
        <v>14</v>
      </c>
      <c r="E824" t="s">
        <v>51</v>
      </c>
      <c r="F824" t="s">
        <v>29</v>
      </c>
      <c r="G824" t="s">
        <v>184</v>
      </c>
      <c r="H824">
        <v>1</v>
      </c>
      <c r="I824">
        <v>1000</v>
      </c>
      <c r="J824" t="s">
        <v>35</v>
      </c>
      <c r="K824" t="s">
        <v>19</v>
      </c>
      <c r="L824" s="5">
        <f t="shared" si="12"/>
        <v>1000</v>
      </c>
    </row>
    <row r="825" spans="1:12" x14ac:dyDescent="0.3">
      <c r="A825" t="s">
        <v>1266</v>
      </c>
      <c r="B825" t="s">
        <v>221</v>
      </c>
      <c r="C825" s="2">
        <v>45785</v>
      </c>
      <c r="D825" t="s">
        <v>64</v>
      </c>
      <c r="E825" t="s">
        <v>99</v>
      </c>
      <c r="F825" t="s">
        <v>39</v>
      </c>
      <c r="G825" t="s">
        <v>52</v>
      </c>
      <c r="H825">
        <v>2</v>
      </c>
      <c r="I825">
        <v>1200</v>
      </c>
      <c r="J825" t="s">
        <v>35</v>
      </c>
      <c r="K825" t="s">
        <v>19</v>
      </c>
      <c r="L825" s="5">
        <f t="shared" si="12"/>
        <v>2400</v>
      </c>
    </row>
    <row r="826" spans="1:12" x14ac:dyDescent="0.3">
      <c r="A826" t="s">
        <v>1267</v>
      </c>
      <c r="B826" t="s">
        <v>467</v>
      </c>
      <c r="C826" s="2">
        <v>45720</v>
      </c>
      <c r="D826" t="s">
        <v>64</v>
      </c>
      <c r="E826" t="s">
        <v>99</v>
      </c>
      <c r="F826" t="s">
        <v>59</v>
      </c>
      <c r="G826" t="s">
        <v>228</v>
      </c>
      <c r="H826">
        <v>3</v>
      </c>
      <c r="I826">
        <v>2400</v>
      </c>
      <c r="J826" t="s">
        <v>61</v>
      </c>
      <c r="K826" t="s">
        <v>25</v>
      </c>
      <c r="L826" s="5">
        <f t="shared" si="12"/>
        <v>7200</v>
      </c>
    </row>
    <row r="827" spans="1:12" x14ac:dyDescent="0.3">
      <c r="A827" t="s">
        <v>1268</v>
      </c>
      <c r="B827" t="s">
        <v>77</v>
      </c>
      <c r="C827" s="2">
        <v>46009</v>
      </c>
      <c r="D827" t="s">
        <v>64</v>
      </c>
      <c r="E827" t="s">
        <v>93</v>
      </c>
      <c r="F827" t="s">
        <v>29</v>
      </c>
      <c r="G827" t="s">
        <v>30</v>
      </c>
      <c r="H827">
        <v>1</v>
      </c>
      <c r="I827">
        <v>5300</v>
      </c>
      <c r="J827" t="s">
        <v>115</v>
      </c>
      <c r="K827" t="s">
        <v>19</v>
      </c>
      <c r="L827" s="5">
        <f t="shared" si="12"/>
        <v>5300</v>
      </c>
    </row>
    <row r="828" spans="1:12" x14ac:dyDescent="0.3">
      <c r="A828" t="s">
        <v>1269</v>
      </c>
      <c r="B828" t="s">
        <v>671</v>
      </c>
      <c r="C828" s="2">
        <v>45751</v>
      </c>
      <c r="D828" t="s">
        <v>14</v>
      </c>
      <c r="E828" t="s">
        <v>28</v>
      </c>
      <c r="F828" t="s">
        <v>23</v>
      </c>
      <c r="G828" t="s">
        <v>56</v>
      </c>
      <c r="H828">
        <v>2</v>
      </c>
      <c r="I828">
        <v>57150</v>
      </c>
      <c r="J828" t="s">
        <v>115</v>
      </c>
      <c r="K828" t="s">
        <v>19</v>
      </c>
      <c r="L828" s="5">
        <f t="shared" si="12"/>
        <v>114300</v>
      </c>
    </row>
    <row r="829" spans="1:12" x14ac:dyDescent="0.3">
      <c r="A829" t="s">
        <v>1270</v>
      </c>
      <c r="B829" t="s">
        <v>1271</v>
      </c>
      <c r="C829" s="2">
        <v>45927</v>
      </c>
      <c r="D829" t="s">
        <v>33</v>
      </c>
      <c r="E829" t="s">
        <v>38</v>
      </c>
      <c r="F829" t="s">
        <v>23</v>
      </c>
      <c r="G829" t="s">
        <v>56</v>
      </c>
      <c r="H829">
        <v>4</v>
      </c>
      <c r="I829">
        <v>58550</v>
      </c>
      <c r="J829" t="s">
        <v>115</v>
      </c>
      <c r="K829" t="s">
        <v>19</v>
      </c>
      <c r="L829" s="5">
        <f t="shared" si="12"/>
        <v>234200</v>
      </c>
    </row>
    <row r="830" spans="1:12" x14ac:dyDescent="0.3">
      <c r="A830" t="s">
        <v>1272</v>
      </c>
      <c r="B830" t="s">
        <v>215</v>
      </c>
      <c r="C830" s="2">
        <v>46019</v>
      </c>
      <c r="D830" t="s">
        <v>33</v>
      </c>
      <c r="E830" t="s">
        <v>38</v>
      </c>
      <c r="F830" t="s">
        <v>29</v>
      </c>
      <c r="G830" t="s">
        <v>96</v>
      </c>
      <c r="H830">
        <v>1</v>
      </c>
      <c r="I830">
        <v>1600</v>
      </c>
      <c r="J830" t="s">
        <v>41</v>
      </c>
      <c r="K830" t="s">
        <v>19</v>
      </c>
      <c r="L830" s="5">
        <f t="shared" si="12"/>
        <v>1600</v>
      </c>
    </row>
    <row r="831" spans="1:12" x14ac:dyDescent="0.3">
      <c r="A831" t="s">
        <v>1273</v>
      </c>
      <c r="B831" t="s">
        <v>501</v>
      </c>
      <c r="C831" s="2">
        <v>45864</v>
      </c>
      <c r="D831" t="s">
        <v>33</v>
      </c>
      <c r="E831" t="s">
        <v>34</v>
      </c>
      <c r="F831" t="s">
        <v>59</v>
      </c>
      <c r="G831" t="s">
        <v>228</v>
      </c>
      <c r="H831">
        <v>2</v>
      </c>
      <c r="I831">
        <v>4400</v>
      </c>
      <c r="J831" t="s">
        <v>18</v>
      </c>
      <c r="K831" t="s">
        <v>19</v>
      </c>
      <c r="L831" s="5">
        <f t="shared" si="12"/>
        <v>8800</v>
      </c>
    </row>
    <row r="832" spans="1:12" x14ac:dyDescent="0.3">
      <c r="A832" t="s">
        <v>1274</v>
      </c>
      <c r="B832" t="s">
        <v>1062</v>
      </c>
      <c r="C832" s="2">
        <v>45730</v>
      </c>
      <c r="D832" t="s">
        <v>64</v>
      </c>
      <c r="E832" t="s">
        <v>65</v>
      </c>
      <c r="F832" t="s">
        <v>16</v>
      </c>
      <c r="G832" t="s">
        <v>48</v>
      </c>
      <c r="H832">
        <v>2</v>
      </c>
      <c r="I832">
        <v>5400</v>
      </c>
      <c r="J832" t="s">
        <v>18</v>
      </c>
      <c r="K832" t="s">
        <v>19</v>
      </c>
      <c r="L832" s="5">
        <f t="shared" si="12"/>
        <v>10800</v>
      </c>
    </row>
    <row r="833" spans="1:12" x14ac:dyDescent="0.3">
      <c r="A833" t="s">
        <v>1275</v>
      </c>
      <c r="B833" t="s">
        <v>89</v>
      </c>
      <c r="C833" s="2">
        <v>45888</v>
      </c>
      <c r="D833" t="s">
        <v>33</v>
      </c>
      <c r="E833" t="s">
        <v>68</v>
      </c>
      <c r="F833" t="s">
        <v>39</v>
      </c>
      <c r="G833" t="s">
        <v>44</v>
      </c>
      <c r="H833">
        <v>2</v>
      </c>
      <c r="I833">
        <v>3900</v>
      </c>
      <c r="J833" t="s">
        <v>61</v>
      </c>
      <c r="K833" t="s">
        <v>19</v>
      </c>
      <c r="L833" s="5">
        <f t="shared" si="12"/>
        <v>7800</v>
      </c>
    </row>
    <row r="834" spans="1:12" x14ac:dyDescent="0.3">
      <c r="A834" t="s">
        <v>1276</v>
      </c>
      <c r="B834" t="s">
        <v>785</v>
      </c>
      <c r="C834" s="2">
        <v>45923</v>
      </c>
      <c r="D834" t="s">
        <v>14</v>
      </c>
      <c r="E834" t="s">
        <v>15</v>
      </c>
      <c r="F834" t="s">
        <v>39</v>
      </c>
      <c r="G834" t="s">
        <v>44</v>
      </c>
      <c r="H834">
        <v>1</v>
      </c>
      <c r="I834">
        <v>9950</v>
      </c>
      <c r="J834" t="s">
        <v>18</v>
      </c>
      <c r="K834" t="s">
        <v>19</v>
      </c>
      <c r="L834" s="5">
        <f t="shared" si="12"/>
        <v>9950</v>
      </c>
    </row>
    <row r="835" spans="1:12" x14ac:dyDescent="0.3">
      <c r="A835" t="s">
        <v>1277</v>
      </c>
      <c r="B835" t="s">
        <v>83</v>
      </c>
      <c r="C835" s="2">
        <v>45713</v>
      </c>
      <c r="D835" t="s">
        <v>33</v>
      </c>
      <c r="E835" t="s">
        <v>38</v>
      </c>
      <c r="F835" t="s">
        <v>29</v>
      </c>
      <c r="G835" t="s">
        <v>184</v>
      </c>
      <c r="H835">
        <v>1</v>
      </c>
      <c r="I835">
        <v>2000</v>
      </c>
      <c r="J835" t="s">
        <v>35</v>
      </c>
      <c r="K835" t="s">
        <v>19</v>
      </c>
      <c r="L835" s="5">
        <f t="shared" ref="L835:L898" si="13">H835*I835</f>
        <v>2000</v>
      </c>
    </row>
    <row r="836" spans="1:12" x14ac:dyDescent="0.3">
      <c r="A836" t="s">
        <v>1278</v>
      </c>
      <c r="B836" t="s">
        <v>971</v>
      </c>
      <c r="C836" s="2">
        <v>45875</v>
      </c>
      <c r="D836" t="s">
        <v>14</v>
      </c>
      <c r="E836" t="s">
        <v>51</v>
      </c>
      <c r="F836" t="s">
        <v>16</v>
      </c>
      <c r="G836" t="s">
        <v>143</v>
      </c>
      <c r="H836">
        <v>4</v>
      </c>
      <c r="I836">
        <v>5250</v>
      </c>
      <c r="J836" t="s">
        <v>18</v>
      </c>
      <c r="K836" t="s">
        <v>19</v>
      </c>
      <c r="L836" s="5">
        <f t="shared" si="13"/>
        <v>21000</v>
      </c>
    </row>
    <row r="837" spans="1:12" x14ac:dyDescent="0.3">
      <c r="A837" t="s">
        <v>1279</v>
      </c>
      <c r="B837" t="s">
        <v>1195</v>
      </c>
      <c r="C837" s="2">
        <v>45945</v>
      </c>
      <c r="D837" t="s">
        <v>33</v>
      </c>
      <c r="E837" t="s">
        <v>38</v>
      </c>
      <c r="F837" t="s">
        <v>16</v>
      </c>
      <c r="G837" t="s">
        <v>143</v>
      </c>
      <c r="H837">
        <v>1</v>
      </c>
      <c r="I837">
        <v>8500</v>
      </c>
      <c r="J837" t="s">
        <v>41</v>
      </c>
      <c r="K837" t="s">
        <v>19</v>
      </c>
      <c r="L837" s="5">
        <f t="shared" si="13"/>
        <v>8500</v>
      </c>
    </row>
    <row r="838" spans="1:12" x14ac:dyDescent="0.3">
      <c r="A838" t="s">
        <v>1280</v>
      </c>
      <c r="B838" t="s">
        <v>583</v>
      </c>
      <c r="C838" s="2">
        <v>45977</v>
      </c>
      <c r="D838" t="s">
        <v>46</v>
      </c>
      <c r="E838" t="s">
        <v>75</v>
      </c>
      <c r="F838" t="s">
        <v>23</v>
      </c>
      <c r="G838" t="s">
        <v>24</v>
      </c>
      <c r="H838">
        <v>2</v>
      </c>
      <c r="I838">
        <v>64000</v>
      </c>
      <c r="J838" t="s">
        <v>35</v>
      </c>
      <c r="K838" t="s">
        <v>19</v>
      </c>
      <c r="L838" s="5">
        <f t="shared" si="13"/>
        <v>128000</v>
      </c>
    </row>
    <row r="839" spans="1:12" x14ac:dyDescent="0.3">
      <c r="A839" t="s">
        <v>1281</v>
      </c>
      <c r="B839" t="s">
        <v>272</v>
      </c>
      <c r="C839" s="2">
        <v>45740</v>
      </c>
      <c r="D839" t="s">
        <v>46</v>
      </c>
      <c r="E839" t="s">
        <v>72</v>
      </c>
      <c r="F839" t="s">
        <v>29</v>
      </c>
      <c r="G839" t="s">
        <v>90</v>
      </c>
      <c r="H839">
        <v>3</v>
      </c>
      <c r="I839">
        <v>5150</v>
      </c>
      <c r="J839" t="s">
        <v>41</v>
      </c>
      <c r="K839" t="s">
        <v>19</v>
      </c>
      <c r="L839" s="5">
        <f t="shared" si="13"/>
        <v>15450</v>
      </c>
    </row>
    <row r="840" spans="1:12" x14ac:dyDescent="0.3">
      <c r="A840" t="s">
        <v>1282</v>
      </c>
      <c r="B840" t="s">
        <v>659</v>
      </c>
      <c r="C840" s="2">
        <v>46014</v>
      </c>
      <c r="D840" t="s">
        <v>46</v>
      </c>
      <c r="E840" t="s">
        <v>55</v>
      </c>
      <c r="F840" t="s">
        <v>23</v>
      </c>
      <c r="G840" t="s">
        <v>137</v>
      </c>
      <c r="H840">
        <v>2</v>
      </c>
      <c r="I840">
        <v>38250</v>
      </c>
      <c r="J840" t="s">
        <v>18</v>
      </c>
      <c r="K840" t="s">
        <v>19</v>
      </c>
      <c r="L840" s="5">
        <f t="shared" si="13"/>
        <v>76500</v>
      </c>
    </row>
    <row r="841" spans="1:12" x14ac:dyDescent="0.3">
      <c r="A841" t="s">
        <v>1283</v>
      </c>
      <c r="B841" t="s">
        <v>481</v>
      </c>
      <c r="C841" s="2">
        <v>45735</v>
      </c>
      <c r="D841" t="s">
        <v>46</v>
      </c>
      <c r="E841" t="s">
        <v>75</v>
      </c>
      <c r="F841" t="s">
        <v>59</v>
      </c>
      <c r="G841" t="s">
        <v>322</v>
      </c>
      <c r="H841">
        <v>2</v>
      </c>
      <c r="I841">
        <v>3550</v>
      </c>
      <c r="J841" t="s">
        <v>18</v>
      </c>
      <c r="K841" t="s">
        <v>127</v>
      </c>
      <c r="L841" s="5">
        <f t="shared" si="13"/>
        <v>7100</v>
      </c>
    </row>
    <row r="842" spans="1:12" x14ac:dyDescent="0.3">
      <c r="A842" t="s">
        <v>1284</v>
      </c>
      <c r="B842" t="s">
        <v>816</v>
      </c>
      <c r="C842" s="2">
        <v>45813</v>
      </c>
      <c r="D842" t="s">
        <v>33</v>
      </c>
      <c r="E842" t="s">
        <v>34</v>
      </c>
      <c r="F842" t="s">
        <v>23</v>
      </c>
      <c r="G842" t="s">
        <v>137</v>
      </c>
      <c r="H842">
        <v>3</v>
      </c>
      <c r="I842">
        <v>22950</v>
      </c>
      <c r="J842" t="s">
        <v>18</v>
      </c>
      <c r="K842" t="s">
        <v>19</v>
      </c>
      <c r="L842" s="5">
        <f t="shared" si="13"/>
        <v>68850</v>
      </c>
    </row>
    <row r="843" spans="1:12" x14ac:dyDescent="0.3">
      <c r="A843" t="s">
        <v>1285</v>
      </c>
      <c r="B843" t="s">
        <v>242</v>
      </c>
      <c r="C843" s="2">
        <v>45987</v>
      </c>
      <c r="D843" t="s">
        <v>14</v>
      </c>
      <c r="E843" t="s">
        <v>22</v>
      </c>
      <c r="F843" t="s">
        <v>29</v>
      </c>
      <c r="G843" t="s">
        <v>90</v>
      </c>
      <c r="H843">
        <v>5</v>
      </c>
      <c r="I843">
        <v>2850</v>
      </c>
      <c r="J843" t="s">
        <v>18</v>
      </c>
      <c r="K843" t="s">
        <v>19</v>
      </c>
      <c r="L843" s="5">
        <f t="shared" si="13"/>
        <v>14250</v>
      </c>
    </row>
    <row r="844" spans="1:12" x14ac:dyDescent="0.3">
      <c r="A844" t="s">
        <v>1286</v>
      </c>
      <c r="B844" t="s">
        <v>1287</v>
      </c>
      <c r="C844" s="2">
        <v>45839</v>
      </c>
      <c r="D844" t="s">
        <v>64</v>
      </c>
      <c r="E844" t="s">
        <v>99</v>
      </c>
      <c r="F844" t="s">
        <v>16</v>
      </c>
      <c r="G844" t="s">
        <v>81</v>
      </c>
      <c r="H844">
        <v>1</v>
      </c>
      <c r="I844">
        <v>1500</v>
      </c>
      <c r="J844" t="s">
        <v>61</v>
      </c>
      <c r="K844" t="s">
        <v>19</v>
      </c>
      <c r="L844" s="5">
        <f t="shared" si="13"/>
        <v>1500</v>
      </c>
    </row>
    <row r="845" spans="1:12" x14ac:dyDescent="0.3">
      <c r="A845" t="s">
        <v>1288</v>
      </c>
      <c r="B845" t="s">
        <v>119</v>
      </c>
      <c r="C845" s="2">
        <v>46016</v>
      </c>
      <c r="D845" t="s">
        <v>33</v>
      </c>
      <c r="E845" t="s">
        <v>80</v>
      </c>
      <c r="F845" t="s">
        <v>59</v>
      </c>
      <c r="G845" t="s">
        <v>60</v>
      </c>
      <c r="H845">
        <v>1</v>
      </c>
      <c r="I845">
        <v>1300</v>
      </c>
      <c r="J845" t="s">
        <v>18</v>
      </c>
      <c r="K845" t="s">
        <v>19</v>
      </c>
      <c r="L845" s="5">
        <f t="shared" si="13"/>
        <v>1300</v>
      </c>
    </row>
    <row r="846" spans="1:12" x14ac:dyDescent="0.3">
      <c r="A846" t="s">
        <v>1289</v>
      </c>
      <c r="B846" t="s">
        <v>1024</v>
      </c>
      <c r="C846" s="2">
        <v>45680</v>
      </c>
      <c r="D846" t="s">
        <v>46</v>
      </c>
      <c r="E846" t="s">
        <v>47</v>
      </c>
      <c r="F846" t="s">
        <v>29</v>
      </c>
      <c r="G846" t="s">
        <v>100</v>
      </c>
      <c r="H846">
        <v>1</v>
      </c>
      <c r="I846">
        <v>4150</v>
      </c>
      <c r="J846" t="s">
        <v>35</v>
      </c>
      <c r="K846" t="s">
        <v>19</v>
      </c>
      <c r="L846" s="5">
        <f t="shared" si="13"/>
        <v>4150</v>
      </c>
    </row>
    <row r="847" spans="1:12" x14ac:dyDescent="0.3">
      <c r="A847" t="s">
        <v>1290</v>
      </c>
      <c r="B847" t="s">
        <v>826</v>
      </c>
      <c r="C847" s="2">
        <v>45767</v>
      </c>
      <c r="D847" t="s">
        <v>64</v>
      </c>
      <c r="E847" t="s">
        <v>93</v>
      </c>
      <c r="F847" t="s">
        <v>23</v>
      </c>
      <c r="G847" t="s">
        <v>56</v>
      </c>
      <c r="H847">
        <v>1</v>
      </c>
      <c r="I847">
        <v>7600</v>
      </c>
      <c r="J847" t="s">
        <v>18</v>
      </c>
      <c r="K847" t="s">
        <v>19</v>
      </c>
      <c r="L847" s="5">
        <f t="shared" si="13"/>
        <v>7600</v>
      </c>
    </row>
    <row r="848" spans="1:12" x14ac:dyDescent="0.3">
      <c r="A848" t="s">
        <v>1291</v>
      </c>
      <c r="B848" t="s">
        <v>32</v>
      </c>
      <c r="C848" s="2">
        <v>45700</v>
      </c>
      <c r="D848" t="s">
        <v>14</v>
      </c>
      <c r="E848" t="s">
        <v>22</v>
      </c>
      <c r="F848" t="s">
        <v>16</v>
      </c>
      <c r="G848" t="s">
        <v>134</v>
      </c>
      <c r="H848">
        <v>3</v>
      </c>
      <c r="I848">
        <v>2500</v>
      </c>
      <c r="J848" t="s">
        <v>41</v>
      </c>
      <c r="K848" t="s">
        <v>19</v>
      </c>
      <c r="L848" s="5">
        <f t="shared" si="13"/>
        <v>7500</v>
      </c>
    </row>
    <row r="849" spans="1:12" x14ac:dyDescent="0.3">
      <c r="A849" t="s">
        <v>1292</v>
      </c>
      <c r="B849" t="s">
        <v>900</v>
      </c>
      <c r="C849" s="2">
        <v>45927</v>
      </c>
      <c r="D849" t="s">
        <v>64</v>
      </c>
      <c r="E849" t="s">
        <v>86</v>
      </c>
      <c r="F849" t="s">
        <v>23</v>
      </c>
      <c r="G849" t="s">
        <v>137</v>
      </c>
      <c r="H849">
        <v>1</v>
      </c>
      <c r="I849">
        <v>35650</v>
      </c>
      <c r="J849" t="s">
        <v>41</v>
      </c>
      <c r="K849" t="s">
        <v>19</v>
      </c>
      <c r="L849" s="5">
        <f t="shared" si="13"/>
        <v>35650</v>
      </c>
    </row>
    <row r="850" spans="1:12" x14ac:dyDescent="0.3">
      <c r="A850" t="s">
        <v>1293</v>
      </c>
      <c r="B850" t="s">
        <v>266</v>
      </c>
      <c r="C850" s="2">
        <v>45748</v>
      </c>
      <c r="D850" t="s">
        <v>64</v>
      </c>
      <c r="E850" t="s">
        <v>65</v>
      </c>
      <c r="F850" t="s">
        <v>29</v>
      </c>
      <c r="G850" t="s">
        <v>90</v>
      </c>
      <c r="H850">
        <v>2</v>
      </c>
      <c r="I850">
        <v>550</v>
      </c>
      <c r="J850" t="s">
        <v>35</v>
      </c>
      <c r="K850" t="s">
        <v>127</v>
      </c>
      <c r="L850" s="5">
        <f t="shared" si="13"/>
        <v>1100</v>
      </c>
    </row>
    <row r="851" spans="1:12" x14ac:dyDescent="0.3">
      <c r="A851" t="s">
        <v>1294</v>
      </c>
      <c r="B851" t="s">
        <v>611</v>
      </c>
      <c r="C851" s="2">
        <v>45844</v>
      </c>
      <c r="D851" t="s">
        <v>14</v>
      </c>
      <c r="E851" t="s">
        <v>15</v>
      </c>
      <c r="F851" t="s">
        <v>16</v>
      </c>
      <c r="G851" t="s">
        <v>48</v>
      </c>
      <c r="H851">
        <v>4</v>
      </c>
      <c r="I851">
        <v>7700</v>
      </c>
      <c r="J851" t="s">
        <v>18</v>
      </c>
      <c r="K851" t="s">
        <v>69</v>
      </c>
      <c r="L851" s="5">
        <f t="shared" si="13"/>
        <v>30800</v>
      </c>
    </row>
    <row r="852" spans="1:12" x14ac:dyDescent="0.3">
      <c r="A852" t="s">
        <v>1295</v>
      </c>
      <c r="C852" s="2">
        <v>45855</v>
      </c>
      <c r="D852" t="s">
        <v>46</v>
      </c>
      <c r="E852" t="s">
        <v>47</v>
      </c>
      <c r="F852" t="s">
        <v>29</v>
      </c>
      <c r="G852" t="s">
        <v>30</v>
      </c>
      <c r="H852">
        <v>1</v>
      </c>
      <c r="I852">
        <v>5850</v>
      </c>
      <c r="J852" t="s">
        <v>18</v>
      </c>
      <c r="K852" t="s">
        <v>19</v>
      </c>
      <c r="L852" s="5">
        <f t="shared" si="13"/>
        <v>5850</v>
      </c>
    </row>
    <row r="853" spans="1:12" x14ac:dyDescent="0.3">
      <c r="A853" t="s">
        <v>1296</v>
      </c>
      <c r="B853" t="s">
        <v>272</v>
      </c>
      <c r="C853" s="2">
        <v>45883</v>
      </c>
      <c r="D853" t="s">
        <v>14</v>
      </c>
      <c r="E853" t="s">
        <v>22</v>
      </c>
      <c r="F853" t="s">
        <v>23</v>
      </c>
      <c r="G853" t="s">
        <v>137</v>
      </c>
      <c r="H853">
        <v>1</v>
      </c>
      <c r="I853">
        <v>29500</v>
      </c>
      <c r="J853" t="s">
        <v>61</v>
      </c>
      <c r="K853" t="s">
        <v>19</v>
      </c>
      <c r="L853" s="5">
        <f t="shared" si="13"/>
        <v>29500</v>
      </c>
    </row>
    <row r="854" spans="1:12" x14ac:dyDescent="0.3">
      <c r="A854" t="s">
        <v>1297</v>
      </c>
      <c r="B854" t="s">
        <v>673</v>
      </c>
      <c r="C854" s="2">
        <v>45695</v>
      </c>
      <c r="D854" t="s">
        <v>33</v>
      </c>
      <c r="E854" t="s">
        <v>38</v>
      </c>
      <c r="F854" t="s">
        <v>23</v>
      </c>
      <c r="G854" t="s">
        <v>193</v>
      </c>
      <c r="H854">
        <v>1</v>
      </c>
      <c r="I854">
        <v>43150</v>
      </c>
      <c r="J854" t="s">
        <v>35</v>
      </c>
      <c r="K854" t="s">
        <v>25</v>
      </c>
      <c r="L854" s="5">
        <f t="shared" si="13"/>
        <v>43150</v>
      </c>
    </row>
    <row r="855" spans="1:12" x14ac:dyDescent="0.3">
      <c r="A855" t="s">
        <v>1298</v>
      </c>
      <c r="B855" t="s">
        <v>772</v>
      </c>
      <c r="C855" s="2">
        <v>45713</v>
      </c>
      <c r="D855" t="s">
        <v>14</v>
      </c>
      <c r="E855" t="s">
        <v>51</v>
      </c>
      <c r="F855" t="s">
        <v>23</v>
      </c>
      <c r="G855" t="s">
        <v>137</v>
      </c>
      <c r="H855">
        <v>3</v>
      </c>
      <c r="I855">
        <v>34600</v>
      </c>
      <c r="J855" t="s">
        <v>61</v>
      </c>
      <c r="K855" t="s">
        <v>69</v>
      </c>
      <c r="L855" s="5">
        <f t="shared" si="13"/>
        <v>103800</v>
      </c>
    </row>
    <row r="856" spans="1:12" x14ac:dyDescent="0.3">
      <c r="A856" t="s">
        <v>1299</v>
      </c>
      <c r="B856" t="s">
        <v>456</v>
      </c>
      <c r="C856" s="2">
        <v>45804</v>
      </c>
      <c r="D856" t="s">
        <v>46</v>
      </c>
      <c r="E856" t="s">
        <v>47</v>
      </c>
      <c r="F856" t="s">
        <v>39</v>
      </c>
      <c r="G856" t="s">
        <v>52</v>
      </c>
      <c r="H856">
        <v>2</v>
      </c>
      <c r="I856">
        <v>1500</v>
      </c>
      <c r="J856" t="s">
        <v>18</v>
      </c>
      <c r="K856" t="s">
        <v>25</v>
      </c>
      <c r="L856" s="5">
        <f t="shared" si="13"/>
        <v>3000</v>
      </c>
    </row>
    <row r="857" spans="1:12" x14ac:dyDescent="0.3">
      <c r="A857" t="s">
        <v>1300</v>
      </c>
      <c r="B857" t="s">
        <v>543</v>
      </c>
      <c r="C857" s="2">
        <v>45788</v>
      </c>
      <c r="D857" t="s">
        <v>46</v>
      </c>
      <c r="E857" t="s">
        <v>75</v>
      </c>
      <c r="F857" t="s">
        <v>16</v>
      </c>
      <c r="G857" t="s">
        <v>17</v>
      </c>
      <c r="H857">
        <v>1</v>
      </c>
      <c r="I857">
        <v>1400</v>
      </c>
      <c r="J857" t="s">
        <v>18</v>
      </c>
      <c r="K857" t="s">
        <v>69</v>
      </c>
      <c r="L857" s="5">
        <f t="shared" si="13"/>
        <v>1400</v>
      </c>
    </row>
    <row r="858" spans="1:12" x14ac:dyDescent="0.3">
      <c r="A858" t="s">
        <v>1301</v>
      </c>
      <c r="B858" t="s">
        <v>1302</v>
      </c>
      <c r="C858" s="2">
        <v>45887</v>
      </c>
      <c r="D858" t="s">
        <v>64</v>
      </c>
      <c r="E858" t="s">
        <v>86</v>
      </c>
      <c r="F858" t="s">
        <v>59</v>
      </c>
      <c r="G858" t="s">
        <v>322</v>
      </c>
      <c r="H858">
        <v>1</v>
      </c>
      <c r="I858">
        <v>950</v>
      </c>
      <c r="J858" t="s">
        <v>35</v>
      </c>
      <c r="K858" t="s">
        <v>19</v>
      </c>
      <c r="L858" s="5">
        <f t="shared" si="13"/>
        <v>950</v>
      </c>
    </row>
    <row r="859" spans="1:12" x14ac:dyDescent="0.3">
      <c r="A859" t="s">
        <v>1303</v>
      </c>
      <c r="B859" t="s">
        <v>657</v>
      </c>
      <c r="C859" s="2">
        <v>45751</v>
      </c>
      <c r="D859" t="s">
        <v>33</v>
      </c>
      <c r="E859" t="s">
        <v>34</v>
      </c>
      <c r="F859" t="s">
        <v>29</v>
      </c>
      <c r="G859" t="s">
        <v>90</v>
      </c>
      <c r="H859">
        <v>1</v>
      </c>
      <c r="I859">
        <v>7000</v>
      </c>
      <c r="J859" t="s">
        <v>35</v>
      </c>
      <c r="K859" t="s">
        <v>19</v>
      </c>
      <c r="L859" s="5">
        <f t="shared" si="13"/>
        <v>7000</v>
      </c>
    </row>
    <row r="860" spans="1:12" x14ac:dyDescent="0.3">
      <c r="A860" t="s">
        <v>1304</v>
      </c>
      <c r="B860" t="s">
        <v>608</v>
      </c>
      <c r="C860" s="2">
        <v>45884</v>
      </c>
      <c r="D860" t="s">
        <v>64</v>
      </c>
      <c r="E860" t="s">
        <v>93</v>
      </c>
      <c r="F860" t="s">
        <v>59</v>
      </c>
      <c r="G860" t="s">
        <v>322</v>
      </c>
      <c r="H860">
        <v>2</v>
      </c>
      <c r="I860">
        <v>1100</v>
      </c>
      <c r="J860" t="s">
        <v>18</v>
      </c>
      <c r="K860" t="s">
        <v>127</v>
      </c>
      <c r="L860" s="5">
        <f t="shared" si="13"/>
        <v>2200</v>
      </c>
    </row>
    <row r="861" spans="1:12" x14ac:dyDescent="0.3">
      <c r="A861" t="s">
        <v>1305</v>
      </c>
      <c r="B861" t="s">
        <v>246</v>
      </c>
      <c r="C861" s="2">
        <v>45967</v>
      </c>
      <c r="D861" t="s">
        <v>14</v>
      </c>
      <c r="E861" t="s">
        <v>28</v>
      </c>
      <c r="F861" t="s">
        <v>29</v>
      </c>
      <c r="G861" t="s">
        <v>184</v>
      </c>
      <c r="H861">
        <v>1</v>
      </c>
      <c r="I861">
        <v>7400</v>
      </c>
      <c r="J861" t="s">
        <v>115</v>
      </c>
      <c r="K861" t="s">
        <v>19</v>
      </c>
      <c r="L861" s="5">
        <f t="shared" si="13"/>
        <v>7400</v>
      </c>
    </row>
    <row r="862" spans="1:12" x14ac:dyDescent="0.3">
      <c r="A862" t="s">
        <v>1306</v>
      </c>
      <c r="B862" t="s">
        <v>508</v>
      </c>
      <c r="C862" s="2">
        <v>45694</v>
      </c>
      <c r="D862" t="s">
        <v>33</v>
      </c>
      <c r="E862" t="s">
        <v>38</v>
      </c>
      <c r="F862" t="s">
        <v>16</v>
      </c>
      <c r="G862" t="s">
        <v>143</v>
      </c>
      <c r="H862">
        <v>2</v>
      </c>
      <c r="I862">
        <v>1350</v>
      </c>
      <c r="J862" t="s">
        <v>35</v>
      </c>
      <c r="K862" t="s">
        <v>19</v>
      </c>
      <c r="L862" s="5">
        <f t="shared" si="13"/>
        <v>2700</v>
      </c>
    </row>
    <row r="863" spans="1:12" x14ac:dyDescent="0.3">
      <c r="A863" t="s">
        <v>1307</v>
      </c>
      <c r="B863" t="s">
        <v>260</v>
      </c>
      <c r="C863" s="2">
        <v>45807</v>
      </c>
      <c r="D863" t="s">
        <v>33</v>
      </c>
      <c r="E863" t="s">
        <v>34</v>
      </c>
      <c r="F863" t="s">
        <v>29</v>
      </c>
      <c r="G863" t="s">
        <v>96</v>
      </c>
      <c r="H863">
        <v>1</v>
      </c>
      <c r="I863">
        <v>7900</v>
      </c>
      <c r="J863" t="s">
        <v>35</v>
      </c>
      <c r="K863" t="s">
        <v>19</v>
      </c>
      <c r="L863" s="5">
        <f t="shared" si="13"/>
        <v>7900</v>
      </c>
    </row>
    <row r="864" spans="1:12" x14ac:dyDescent="0.3">
      <c r="A864" t="s">
        <v>1308</v>
      </c>
      <c r="B864" t="s">
        <v>635</v>
      </c>
      <c r="C864" s="2">
        <v>45846</v>
      </c>
      <c r="D864" t="s">
        <v>33</v>
      </c>
      <c r="E864" t="s">
        <v>34</v>
      </c>
      <c r="F864" t="s">
        <v>59</v>
      </c>
      <c r="G864" t="s">
        <v>228</v>
      </c>
      <c r="H864">
        <v>1</v>
      </c>
      <c r="I864">
        <v>2050</v>
      </c>
      <c r="J864" t="s">
        <v>35</v>
      </c>
      <c r="K864" t="s">
        <v>19</v>
      </c>
      <c r="L864" s="5">
        <f t="shared" si="13"/>
        <v>2050</v>
      </c>
    </row>
    <row r="865" spans="1:12" x14ac:dyDescent="0.3">
      <c r="A865" t="s">
        <v>1309</v>
      </c>
      <c r="B865" t="s">
        <v>1310</v>
      </c>
      <c r="C865" s="2">
        <v>45815</v>
      </c>
      <c r="D865" t="s">
        <v>64</v>
      </c>
      <c r="E865" t="s">
        <v>65</v>
      </c>
      <c r="F865" t="s">
        <v>23</v>
      </c>
      <c r="G865" t="s">
        <v>24</v>
      </c>
      <c r="H865">
        <v>1</v>
      </c>
      <c r="I865">
        <v>19850</v>
      </c>
      <c r="J865" t="s">
        <v>18</v>
      </c>
      <c r="K865" t="s">
        <v>19</v>
      </c>
      <c r="L865" s="5">
        <f t="shared" si="13"/>
        <v>19850</v>
      </c>
    </row>
    <row r="866" spans="1:12" x14ac:dyDescent="0.3">
      <c r="A866" t="s">
        <v>1311</v>
      </c>
      <c r="B866" t="s">
        <v>177</v>
      </c>
      <c r="C866" s="2">
        <v>45899</v>
      </c>
      <c r="D866" t="s">
        <v>64</v>
      </c>
      <c r="E866" t="s">
        <v>93</v>
      </c>
      <c r="F866" t="s">
        <v>16</v>
      </c>
      <c r="G866" t="s">
        <v>81</v>
      </c>
      <c r="H866">
        <v>1</v>
      </c>
      <c r="I866">
        <v>4000</v>
      </c>
      <c r="J866" t="s">
        <v>115</v>
      </c>
      <c r="K866" t="s">
        <v>19</v>
      </c>
      <c r="L866" s="5">
        <f t="shared" si="13"/>
        <v>4000</v>
      </c>
    </row>
    <row r="867" spans="1:12" x14ac:dyDescent="0.3">
      <c r="A867" t="s">
        <v>1312</v>
      </c>
      <c r="B867" t="s">
        <v>85</v>
      </c>
      <c r="C867" s="2">
        <v>45704</v>
      </c>
      <c r="D867" t="s">
        <v>46</v>
      </c>
      <c r="E867" t="s">
        <v>72</v>
      </c>
      <c r="F867" t="s">
        <v>16</v>
      </c>
      <c r="G867" t="s">
        <v>143</v>
      </c>
      <c r="H867">
        <v>1</v>
      </c>
      <c r="I867">
        <v>2750</v>
      </c>
      <c r="J867" t="s">
        <v>35</v>
      </c>
      <c r="K867" t="s">
        <v>19</v>
      </c>
      <c r="L867" s="5">
        <f t="shared" si="13"/>
        <v>2750</v>
      </c>
    </row>
    <row r="868" spans="1:12" x14ac:dyDescent="0.3">
      <c r="A868" t="s">
        <v>1313</v>
      </c>
      <c r="B868" t="s">
        <v>150</v>
      </c>
      <c r="C868" s="2">
        <v>45752</v>
      </c>
      <c r="D868" t="s">
        <v>14</v>
      </c>
      <c r="F868" t="s">
        <v>29</v>
      </c>
      <c r="G868" t="s">
        <v>184</v>
      </c>
      <c r="H868">
        <v>1</v>
      </c>
      <c r="I868">
        <v>1400</v>
      </c>
      <c r="J868" t="s">
        <v>35</v>
      </c>
      <c r="K868" t="s">
        <v>19</v>
      </c>
      <c r="L868" s="5">
        <f t="shared" si="13"/>
        <v>1400</v>
      </c>
    </row>
    <row r="869" spans="1:12" x14ac:dyDescent="0.3">
      <c r="A869" t="s">
        <v>1314</v>
      </c>
      <c r="B869" t="s">
        <v>630</v>
      </c>
      <c r="C869" s="2">
        <v>45968</v>
      </c>
      <c r="D869" t="s">
        <v>64</v>
      </c>
      <c r="E869" t="s">
        <v>93</v>
      </c>
      <c r="F869" t="s">
        <v>23</v>
      </c>
      <c r="G869" t="s">
        <v>137</v>
      </c>
      <c r="H869">
        <v>5</v>
      </c>
      <c r="I869">
        <v>43750</v>
      </c>
      <c r="J869" t="s">
        <v>18</v>
      </c>
      <c r="K869" t="s">
        <v>19</v>
      </c>
      <c r="L869" s="5">
        <f t="shared" si="13"/>
        <v>218750</v>
      </c>
    </row>
    <row r="870" spans="1:12" x14ac:dyDescent="0.3">
      <c r="A870" t="s">
        <v>1315</v>
      </c>
      <c r="B870" t="s">
        <v>79</v>
      </c>
      <c r="C870" s="2">
        <v>45923</v>
      </c>
      <c r="D870" t="s">
        <v>46</v>
      </c>
      <c r="E870" t="s">
        <v>75</v>
      </c>
      <c r="F870" t="s">
        <v>16</v>
      </c>
      <c r="G870" t="s">
        <v>143</v>
      </c>
      <c r="H870">
        <v>3</v>
      </c>
      <c r="I870">
        <v>6250</v>
      </c>
      <c r="J870" t="s">
        <v>18</v>
      </c>
      <c r="K870" t="s">
        <v>19</v>
      </c>
      <c r="L870" s="5">
        <f t="shared" si="13"/>
        <v>18750</v>
      </c>
    </row>
    <row r="871" spans="1:12" x14ac:dyDescent="0.3">
      <c r="A871" t="s">
        <v>1316</v>
      </c>
      <c r="B871" t="s">
        <v>611</v>
      </c>
      <c r="C871" s="2">
        <v>45832</v>
      </c>
      <c r="D871" t="s">
        <v>14</v>
      </c>
      <c r="E871" t="s">
        <v>15</v>
      </c>
      <c r="F871" t="s">
        <v>29</v>
      </c>
      <c r="G871" t="s">
        <v>184</v>
      </c>
      <c r="H871">
        <v>1</v>
      </c>
      <c r="I871">
        <v>3550</v>
      </c>
      <c r="J871" t="s">
        <v>41</v>
      </c>
      <c r="K871" t="s">
        <v>19</v>
      </c>
      <c r="L871" s="5">
        <f t="shared" si="13"/>
        <v>3550</v>
      </c>
    </row>
    <row r="872" spans="1:12" x14ac:dyDescent="0.3">
      <c r="A872" t="s">
        <v>1317</v>
      </c>
      <c r="B872" t="s">
        <v>754</v>
      </c>
      <c r="C872" s="2">
        <v>45942</v>
      </c>
      <c r="D872" t="s">
        <v>14</v>
      </c>
      <c r="E872" t="s">
        <v>15</v>
      </c>
      <c r="F872" t="s">
        <v>39</v>
      </c>
      <c r="G872" t="s">
        <v>40</v>
      </c>
      <c r="H872">
        <v>1</v>
      </c>
      <c r="I872">
        <v>2350</v>
      </c>
      <c r="J872" t="s">
        <v>18</v>
      </c>
      <c r="K872" t="s">
        <v>69</v>
      </c>
      <c r="L872" s="5">
        <f t="shared" si="13"/>
        <v>2350</v>
      </c>
    </row>
    <row r="873" spans="1:12" x14ac:dyDescent="0.3">
      <c r="A873" t="s">
        <v>1318</v>
      </c>
      <c r="B873" t="s">
        <v>1319</v>
      </c>
      <c r="C873" s="2">
        <v>45998</v>
      </c>
      <c r="D873" t="s">
        <v>14</v>
      </c>
      <c r="E873" t="s">
        <v>22</v>
      </c>
      <c r="F873" t="s">
        <v>23</v>
      </c>
      <c r="G873" t="s">
        <v>140</v>
      </c>
      <c r="H873">
        <v>1</v>
      </c>
      <c r="I873">
        <v>50550</v>
      </c>
      <c r="J873" t="s">
        <v>35</v>
      </c>
      <c r="K873" t="s">
        <v>25</v>
      </c>
      <c r="L873" s="5">
        <f t="shared" si="13"/>
        <v>50550</v>
      </c>
    </row>
    <row r="874" spans="1:12" x14ac:dyDescent="0.3">
      <c r="A874" t="s">
        <v>1320</v>
      </c>
      <c r="B874" t="s">
        <v>317</v>
      </c>
      <c r="C874" s="2">
        <v>45686</v>
      </c>
      <c r="D874" t="s">
        <v>64</v>
      </c>
      <c r="E874" t="s">
        <v>93</v>
      </c>
      <c r="F874" t="s">
        <v>59</v>
      </c>
      <c r="G874" t="s">
        <v>228</v>
      </c>
      <c r="H874">
        <v>3</v>
      </c>
      <c r="I874">
        <v>1150</v>
      </c>
      <c r="J874" t="s">
        <v>41</v>
      </c>
      <c r="K874" t="s">
        <v>19</v>
      </c>
      <c r="L874" s="5">
        <f t="shared" si="13"/>
        <v>3450</v>
      </c>
    </row>
    <row r="875" spans="1:12" x14ac:dyDescent="0.3">
      <c r="A875" t="s">
        <v>1321</v>
      </c>
      <c r="B875" t="s">
        <v>175</v>
      </c>
      <c r="C875" s="2">
        <v>45799</v>
      </c>
      <c r="D875" t="s">
        <v>46</v>
      </c>
      <c r="E875" t="s">
        <v>55</v>
      </c>
      <c r="F875" t="s">
        <v>39</v>
      </c>
      <c r="G875" t="s">
        <v>44</v>
      </c>
      <c r="H875">
        <v>1</v>
      </c>
      <c r="I875">
        <v>2650</v>
      </c>
      <c r="J875" t="s">
        <v>41</v>
      </c>
      <c r="K875" t="s">
        <v>19</v>
      </c>
      <c r="L875" s="5">
        <f t="shared" si="13"/>
        <v>2650</v>
      </c>
    </row>
    <row r="876" spans="1:12" x14ac:dyDescent="0.3">
      <c r="A876" t="s">
        <v>1322</v>
      </c>
      <c r="B876" t="s">
        <v>560</v>
      </c>
      <c r="C876" s="2">
        <v>45855</v>
      </c>
      <c r="D876" t="s">
        <v>33</v>
      </c>
      <c r="E876" t="s">
        <v>80</v>
      </c>
      <c r="F876" t="s">
        <v>39</v>
      </c>
      <c r="G876" t="s">
        <v>146</v>
      </c>
      <c r="H876">
        <v>3</v>
      </c>
      <c r="I876">
        <v>8450</v>
      </c>
      <c r="J876" t="s">
        <v>35</v>
      </c>
      <c r="K876" t="s">
        <v>19</v>
      </c>
      <c r="L876" s="5">
        <f t="shared" si="13"/>
        <v>25350</v>
      </c>
    </row>
    <row r="877" spans="1:12" x14ac:dyDescent="0.3">
      <c r="A877" t="s">
        <v>1323</v>
      </c>
      <c r="B877" t="s">
        <v>414</v>
      </c>
      <c r="C877" s="2">
        <v>45844</v>
      </c>
      <c r="D877" t="s">
        <v>64</v>
      </c>
      <c r="E877" t="s">
        <v>99</v>
      </c>
      <c r="F877" t="s">
        <v>16</v>
      </c>
      <c r="G877" t="s">
        <v>143</v>
      </c>
      <c r="H877">
        <v>2</v>
      </c>
      <c r="I877">
        <v>4600</v>
      </c>
      <c r="J877" t="s">
        <v>18</v>
      </c>
      <c r="K877" t="s">
        <v>69</v>
      </c>
      <c r="L877" s="5">
        <f t="shared" si="13"/>
        <v>9200</v>
      </c>
    </row>
    <row r="878" spans="1:12" x14ac:dyDescent="0.3">
      <c r="A878" t="s">
        <v>1324</v>
      </c>
      <c r="B878" t="s">
        <v>199</v>
      </c>
      <c r="C878" s="2">
        <v>45777</v>
      </c>
      <c r="D878" t="s">
        <v>64</v>
      </c>
      <c r="E878" t="s">
        <v>93</v>
      </c>
      <c r="F878" t="s">
        <v>16</v>
      </c>
      <c r="G878" t="s">
        <v>48</v>
      </c>
      <c r="H878">
        <v>1</v>
      </c>
      <c r="I878">
        <v>4600</v>
      </c>
      <c r="J878" t="s">
        <v>35</v>
      </c>
      <c r="K878" t="s">
        <v>19</v>
      </c>
      <c r="L878" s="5">
        <f t="shared" si="13"/>
        <v>4600</v>
      </c>
    </row>
    <row r="879" spans="1:12" x14ac:dyDescent="0.3">
      <c r="A879" t="s">
        <v>1325</v>
      </c>
      <c r="B879" t="s">
        <v>1326</v>
      </c>
      <c r="C879" s="2">
        <v>45966</v>
      </c>
      <c r="D879" t="s">
        <v>46</v>
      </c>
      <c r="E879" t="s">
        <v>72</v>
      </c>
      <c r="F879" t="s">
        <v>29</v>
      </c>
      <c r="G879" t="s">
        <v>30</v>
      </c>
      <c r="H879">
        <v>1</v>
      </c>
      <c r="I879">
        <v>3400</v>
      </c>
      <c r="J879" t="s">
        <v>41</v>
      </c>
      <c r="K879" t="s">
        <v>127</v>
      </c>
      <c r="L879" s="5">
        <f t="shared" si="13"/>
        <v>3400</v>
      </c>
    </row>
    <row r="880" spans="1:12" x14ac:dyDescent="0.3">
      <c r="A880" t="s">
        <v>1327</v>
      </c>
      <c r="B880" t="s">
        <v>1328</v>
      </c>
      <c r="C880" s="2">
        <v>45951</v>
      </c>
      <c r="D880" t="s">
        <v>46</v>
      </c>
      <c r="E880" t="s">
        <v>75</v>
      </c>
      <c r="F880" t="s">
        <v>23</v>
      </c>
      <c r="G880" t="s">
        <v>137</v>
      </c>
      <c r="H880">
        <v>2</v>
      </c>
      <c r="I880">
        <v>43700</v>
      </c>
      <c r="J880" t="s">
        <v>61</v>
      </c>
      <c r="K880" t="s">
        <v>19</v>
      </c>
      <c r="L880" s="5">
        <f t="shared" si="13"/>
        <v>87400</v>
      </c>
    </row>
    <row r="881" spans="1:12" x14ac:dyDescent="0.3">
      <c r="A881" t="s">
        <v>1329</v>
      </c>
      <c r="B881" t="s">
        <v>1197</v>
      </c>
      <c r="C881" s="2">
        <v>45830</v>
      </c>
      <c r="D881" t="s">
        <v>64</v>
      </c>
      <c r="E881" t="s">
        <v>93</v>
      </c>
      <c r="F881" t="s">
        <v>29</v>
      </c>
      <c r="G881" t="s">
        <v>90</v>
      </c>
      <c r="H881">
        <v>2</v>
      </c>
      <c r="I881">
        <v>2900</v>
      </c>
      <c r="J881" t="s">
        <v>115</v>
      </c>
      <c r="K881" t="s">
        <v>127</v>
      </c>
      <c r="L881" s="5">
        <f t="shared" si="13"/>
        <v>5800</v>
      </c>
    </row>
    <row r="882" spans="1:12" x14ac:dyDescent="0.3">
      <c r="A882" t="s">
        <v>1330</v>
      </c>
      <c r="B882" t="s">
        <v>1331</v>
      </c>
      <c r="C882" s="2">
        <v>45875</v>
      </c>
      <c r="D882" t="s">
        <v>64</v>
      </c>
      <c r="E882" t="s">
        <v>86</v>
      </c>
      <c r="F882" t="s">
        <v>23</v>
      </c>
      <c r="G882" t="s">
        <v>193</v>
      </c>
      <c r="H882">
        <v>2</v>
      </c>
      <c r="I882">
        <v>22400</v>
      </c>
      <c r="J882" t="s">
        <v>35</v>
      </c>
      <c r="K882" t="s">
        <v>127</v>
      </c>
      <c r="L882" s="5">
        <f t="shared" si="13"/>
        <v>44800</v>
      </c>
    </row>
    <row r="883" spans="1:12" x14ac:dyDescent="0.3">
      <c r="A883" t="s">
        <v>1332</v>
      </c>
      <c r="B883" t="s">
        <v>403</v>
      </c>
      <c r="C883" s="2">
        <v>45856</v>
      </c>
      <c r="D883" t="s">
        <v>46</v>
      </c>
      <c r="E883" t="s">
        <v>47</v>
      </c>
      <c r="F883" t="s">
        <v>29</v>
      </c>
      <c r="G883" t="s">
        <v>96</v>
      </c>
      <c r="H883">
        <v>2</v>
      </c>
      <c r="I883">
        <v>3100</v>
      </c>
      <c r="J883" t="s">
        <v>41</v>
      </c>
      <c r="K883" t="s">
        <v>19</v>
      </c>
      <c r="L883" s="5">
        <f t="shared" si="13"/>
        <v>6200</v>
      </c>
    </row>
    <row r="884" spans="1:12" x14ac:dyDescent="0.3">
      <c r="A884" t="s">
        <v>1333</v>
      </c>
      <c r="B884" t="s">
        <v>145</v>
      </c>
      <c r="C884" s="2">
        <v>45729</v>
      </c>
      <c r="D884" t="s">
        <v>14</v>
      </c>
      <c r="E884" t="s">
        <v>28</v>
      </c>
      <c r="F884" t="s">
        <v>23</v>
      </c>
      <c r="G884" t="s">
        <v>137</v>
      </c>
      <c r="H884">
        <v>1</v>
      </c>
      <c r="I884">
        <v>10250</v>
      </c>
      <c r="J884" t="s">
        <v>41</v>
      </c>
      <c r="K884" t="s">
        <v>19</v>
      </c>
      <c r="L884" s="5">
        <f t="shared" si="13"/>
        <v>10250</v>
      </c>
    </row>
    <row r="885" spans="1:12" x14ac:dyDescent="0.3">
      <c r="A885" t="s">
        <v>1334</v>
      </c>
      <c r="B885" t="s">
        <v>225</v>
      </c>
      <c r="C885" s="2">
        <v>45674</v>
      </c>
      <c r="D885" t="s">
        <v>14</v>
      </c>
      <c r="E885" t="s">
        <v>51</v>
      </c>
      <c r="F885" t="s">
        <v>16</v>
      </c>
      <c r="G885" t="s">
        <v>143</v>
      </c>
      <c r="H885">
        <v>2</v>
      </c>
      <c r="I885">
        <v>800</v>
      </c>
      <c r="J885" t="s">
        <v>115</v>
      </c>
      <c r="K885" t="s">
        <v>19</v>
      </c>
      <c r="L885" s="5">
        <f t="shared" si="13"/>
        <v>1600</v>
      </c>
    </row>
    <row r="886" spans="1:12" x14ac:dyDescent="0.3">
      <c r="A886" t="s">
        <v>1335</v>
      </c>
      <c r="B886" t="s">
        <v>142</v>
      </c>
      <c r="C886" s="2">
        <v>45778</v>
      </c>
      <c r="D886" t="s">
        <v>46</v>
      </c>
      <c r="E886" t="s">
        <v>72</v>
      </c>
      <c r="F886" t="s">
        <v>59</v>
      </c>
      <c r="G886" t="s">
        <v>228</v>
      </c>
      <c r="H886">
        <v>2</v>
      </c>
      <c r="I886">
        <v>700</v>
      </c>
      <c r="J886" t="s">
        <v>41</v>
      </c>
      <c r="K886" t="s">
        <v>127</v>
      </c>
      <c r="L886" s="5">
        <f t="shared" si="13"/>
        <v>1400</v>
      </c>
    </row>
    <row r="887" spans="1:12" x14ac:dyDescent="0.3">
      <c r="A887" t="s">
        <v>1336</v>
      </c>
      <c r="B887" t="s">
        <v>673</v>
      </c>
      <c r="C887" s="2">
        <v>45688</v>
      </c>
      <c r="D887" t="s">
        <v>14</v>
      </c>
      <c r="E887" t="s">
        <v>15</v>
      </c>
      <c r="F887" t="s">
        <v>23</v>
      </c>
      <c r="G887" t="s">
        <v>137</v>
      </c>
      <c r="H887">
        <v>2</v>
      </c>
      <c r="I887">
        <v>52800</v>
      </c>
      <c r="J887" t="s">
        <v>35</v>
      </c>
      <c r="K887" t="s">
        <v>19</v>
      </c>
      <c r="L887" s="5">
        <f t="shared" si="13"/>
        <v>105600</v>
      </c>
    </row>
    <row r="888" spans="1:12" x14ac:dyDescent="0.3">
      <c r="A888" t="s">
        <v>1337</v>
      </c>
      <c r="B888" t="s">
        <v>575</v>
      </c>
      <c r="C888" s="2">
        <v>45927</v>
      </c>
      <c r="D888" t="s">
        <v>14</v>
      </c>
      <c r="E888" t="s">
        <v>15</v>
      </c>
      <c r="F888" t="s">
        <v>29</v>
      </c>
      <c r="G888" t="s">
        <v>30</v>
      </c>
      <c r="H888">
        <v>3</v>
      </c>
      <c r="I888">
        <v>800</v>
      </c>
      <c r="J888" t="s">
        <v>18</v>
      </c>
      <c r="K888" t="s">
        <v>19</v>
      </c>
      <c r="L888" s="5">
        <f t="shared" si="13"/>
        <v>2400</v>
      </c>
    </row>
    <row r="889" spans="1:12" x14ac:dyDescent="0.3">
      <c r="A889" t="s">
        <v>1338</v>
      </c>
      <c r="B889" t="s">
        <v>565</v>
      </c>
      <c r="C889" s="2">
        <v>45922</v>
      </c>
      <c r="D889" t="s">
        <v>64</v>
      </c>
      <c r="E889" t="s">
        <v>99</v>
      </c>
      <c r="F889" t="s">
        <v>59</v>
      </c>
      <c r="G889" t="s">
        <v>228</v>
      </c>
      <c r="H889">
        <v>2</v>
      </c>
      <c r="I889">
        <v>2550</v>
      </c>
      <c r="J889" t="s">
        <v>35</v>
      </c>
      <c r="K889" t="s">
        <v>19</v>
      </c>
      <c r="L889" s="5">
        <f t="shared" si="13"/>
        <v>5100</v>
      </c>
    </row>
    <row r="890" spans="1:12" x14ac:dyDescent="0.3">
      <c r="A890" t="s">
        <v>1339</v>
      </c>
      <c r="B890" t="s">
        <v>596</v>
      </c>
      <c r="C890" s="2">
        <v>45663</v>
      </c>
      <c r="D890" t="s">
        <v>33</v>
      </c>
      <c r="E890" t="s">
        <v>80</v>
      </c>
      <c r="F890" t="s">
        <v>29</v>
      </c>
      <c r="G890" t="s">
        <v>96</v>
      </c>
      <c r="H890">
        <v>1</v>
      </c>
      <c r="I890">
        <v>3300</v>
      </c>
      <c r="J890" t="s">
        <v>61</v>
      </c>
      <c r="K890" t="s">
        <v>19</v>
      </c>
      <c r="L890" s="5">
        <f t="shared" si="13"/>
        <v>3300</v>
      </c>
    </row>
    <row r="891" spans="1:12" x14ac:dyDescent="0.3">
      <c r="A891" t="s">
        <v>1340</v>
      </c>
      <c r="B891" t="s">
        <v>319</v>
      </c>
      <c r="C891" s="2">
        <v>45982</v>
      </c>
      <c r="D891" t="s">
        <v>64</v>
      </c>
      <c r="E891" t="s">
        <v>86</v>
      </c>
      <c r="F891" t="s">
        <v>39</v>
      </c>
      <c r="G891" t="s">
        <v>52</v>
      </c>
      <c r="H891">
        <v>3</v>
      </c>
      <c r="I891">
        <v>10000</v>
      </c>
      <c r="J891" t="s">
        <v>61</v>
      </c>
      <c r="K891" t="s">
        <v>19</v>
      </c>
      <c r="L891" s="5">
        <f t="shared" si="13"/>
        <v>30000</v>
      </c>
    </row>
    <row r="892" spans="1:12" x14ac:dyDescent="0.3">
      <c r="A892" t="s">
        <v>1341</v>
      </c>
      <c r="B892" t="s">
        <v>201</v>
      </c>
      <c r="C892" s="2">
        <v>45695</v>
      </c>
      <c r="D892" t="s">
        <v>14</v>
      </c>
      <c r="E892" t="s">
        <v>51</v>
      </c>
      <c r="F892" t="s">
        <v>16</v>
      </c>
      <c r="G892" t="s">
        <v>81</v>
      </c>
      <c r="H892">
        <v>4</v>
      </c>
      <c r="I892">
        <v>3000</v>
      </c>
      <c r="J892" t="s">
        <v>61</v>
      </c>
      <c r="K892" t="s">
        <v>127</v>
      </c>
      <c r="L892" s="5">
        <f t="shared" si="13"/>
        <v>12000</v>
      </c>
    </row>
    <row r="893" spans="1:12" x14ac:dyDescent="0.3">
      <c r="A893" t="s">
        <v>1342</v>
      </c>
      <c r="B893" t="s">
        <v>1343</v>
      </c>
      <c r="C893" s="2">
        <v>45733</v>
      </c>
      <c r="D893" t="s">
        <v>14</v>
      </c>
      <c r="E893" t="s">
        <v>15</v>
      </c>
      <c r="F893" t="s">
        <v>59</v>
      </c>
      <c r="G893" t="s">
        <v>60</v>
      </c>
      <c r="H893">
        <v>1</v>
      </c>
      <c r="I893">
        <v>4550</v>
      </c>
      <c r="J893" t="s">
        <v>18</v>
      </c>
      <c r="K893" t="s">
        <v>19</v>
      </c>
      <c r="L893" s="5">
        <f t="shared" si="13"/>
        <v>4550</v>
      </c>
    </row>
    <row r="894" spans="1:12" x14ac:dyDescent="0.3">
      <c r="A894" t="s">
        <v>1344</v>
      </c>
      <c r="B894" t="s">
        <v>571</v>
      </c>
      <c r="C894" s="2">
        <v>45707</v>
      </c>
      <c r="D894" t="s">
        <v>33</v>
      </c>
      <c r="E894" t="s">
        <v>34</v>
      </c>
      <c r="F894" t="s">
        <v>59</v>
      </c>
      <c r="G894" t="s">
        <v>60</v>
      </c>
      <c r="H894">
        <v>1</v>
      </c>
      <c r="I894">
        <v>3450</v>
      </c>
      <c r="J894" t="s">
        <v>35</v>
      </c>
      <c r="K894" t="s">
        <v>19</v>
      </c>
      <c r="L894" s="5">
        <f t="shared" si="13"/>
        <v>3450</v>
      </c>
    </row>
    <row r="895" spans="1:12" x14ac:dyDescent="0.3">
      <c r="A895" t="s">
        <v>1345</v>
      </c>
      <c r="B895" t="s">
        <v>903</v>
      </c>
      <c r="C895" s="2">
        <v>45724</v>
      </c>
      <c r="D895" t="s">
        <v>33</v>
      </c>
      <c r="E895" t="s">
        <v>38</v>
      </c>
      <c r="F895" t="s">
        <v>16</v>
      </c>
      <c r="G895" t="s">
        <v>143</v>
      </c>
      <c r="H895">
        <v>2</v>
      </c>
      <c r="I895">
        <v>1250</v>
      </c>
      <c r="J895" t="s">
        <v>18</v>
      </c>
      <c r="K895" t="s">
        <v>19</v>
      </c>
      <c r="L895" s="5">
        <f t="shared" si="13"/>
        <v>2500</v>
      </c>
    </row>
    <row r="896" spans="1:12" x14ac:dyDescent="0.3">
      <c r="A896" t="s">
        <v>1346</v>
      </c>
      <c r="B896" t="s">
        <v>1084</v>
      </c>
      <c r="C896" s="2">
        <v>45929</v>
      </c>
      <c r="D896" t="s">
        <v>14</v>
      </c>
      <c r="E896" t="s">
        <v>22</v>
      </c>
      <c r="F896" t="s">
        <v>39</v>
      </c>
      <c r="G896" t="s">
        <v>87</v>
      </c>
      <c r="H896">
        <v>1</v>
      </c>
      <c r="I896">
        <v>1500</v>
      </c>
      <c r="J896" t="s">
        <v>41</v>
      </c>
      <c r="K896" t="s">
        <v>69</v>
      </c>
      <c r="L896" s="5">
        <f t="shared" si="13"/>
        <v>1500</v>
      </c>
    </row>
    <row r="897" spans="1:12" x14ac:dyDescent="0.3">
      <c r="A897" t="s">
        <v>1347</v>
      </c>
      <c r="B897" t="s">
        <v>1164</v>
      </c>
      <c r="C897" s="2">
        <v>45835</v>
      </c>
      <c r="D897" t="s">
        <v>14</v>
      </c>
      <c r="E897" t="s">
        <v>15</v>
      </c>
      <c r="F897" t="s">
        <v>23</v>
      </c>
      <c r="G897" t="s">
        <v>137</v>
      </c>
      <c r="H897">
        <v>1</v>
      </c>
      <c r="I897">
        <v>41850</v>
      </c>
      <c r="J897" t="s">
        <v>41</v>
      </c>
      <c r="K897" t="s">
        <v>19</v>
      </c>
      <c r="L897" s="5">
        <f t="shared" si="13"/>
        <v>41850</v>
      </c>
    </row>
    <row r="898" spans="1:12" x14ac:dyDescent="0.3">
      <c r="A898" t="s">
        <v>1348</v>
      </c>
      <c r="B898" t="s">
        <v>283</v>
      </c>
      <c r="C898" s="2">
        <v>45911</v>
      </c>
      <c r="D898" t="s">
        <v>64</v>
      </c>
      <c r="E898" t="s">
        <v>93</v>
      </c>
      <c r="F898" t="s">
        <v>23</v>
      </c>
      <c r="G898" t="s">
        <v>24</v>
      </c>
      <c r="H898">
        <v>1</v>
      </c>
      <c r="I898">
        <v>52650</v>
      </c>
      <c r="J898" t="s">
        <v>18</v>
      </c>
      <c r="K898" t="s">
        <v>19</v>
      </c>
      <c r="L898" s="5">
        <f t="shared" si="13"/>
        <v>52650</v>
      </c>
    </row>
    <row r="899" spans="1:12" x14ac:dyDescent="0.3">
      <c r="A899" t="s">
        <v>1349</v>
      </c>
      <c r="B899" t="s">
        <v>472</v>
      </c>
      <c r="C899" s="2">
        <v>45950</v>
      </c>
      <c r="D899" t="s">
        <v>14</v>
      </c>
      <c r="E899" t="s">
        <v>22</v>
      </c>
      <c r="F899" t="s">
        <v>23</v>
      </c>
      <c r="G899" t="s">
        <v>137</v>
      </c>
      <c r="H899">
        <v>1</v>
      </c>
      <c r="I899">
        <v>23700</v>
      </c>
      <c r="J899" t="s">
        <v>35</v>
      </c>
      <c r="K899" t="s">
        <v>19</v>
      </c>
      <c r="L899" s="5">
        <f t="shared" ref="L899:L962" si="14">H899*I899</f>
        <v>23700</v>
      </c>
    </row>
    <row r="900" spans="1:12" x14ac:dyDescent="0.3">
      <c r="A900" t="s">
        <v>1350</v>
      </c>
      <c r="B900" t="s">
        <v>589</v>
      </c>
      <c r="C900" s="2">
        <v>46010</v>
      </c>
      <c r="D900" t="s">
        <v>14</v>
      </c>
      <c r="E900" t="s">
        <v>28</v>
      </c>
      <c r="F900" t="s">
        <v>16</v>
      </c>
      <c r="G900" t="s">
        <v>17</v>
      </c>
      <c r="H900">
        <v>2</v>
      </c>
      <c r="I900">
        <v>7950</v>
      </c>
      <c r="J900" t="s">
        <v>41</v>
      </c>
      <c r="K900" t="s">
        <v>19</v>
      </c>
      <c r="L900" s="5">
        <f t="shared" si="14"/>
        <v>15900</v>
      </c>
    </row>
    <row r="901" spans="1:12" x14ac:dyDescent="0.3">
      <c r="A901" t="s">
        <v>1351</v>
      </c>
      <c r="B901" t="s">
        <v>92</v>
      </c>
      <c r="C901" s="2">
        <v>45687</v>
      </c>
      <c r="D901" t="s">
        <v>14</v>
      </c>
      <c r="E901" t="s">
        <v>15</v>
      </c>
      <c r="F901" t="s">
        <v>39</v>
      </c>
      <c r="G901" t="s">
        <v>52</v>
      </c>
      <c r="H901">
        <v>2</v>
      </c>
      <c r="I901">
        <v>9400</v>
      </c>
      <c r="J901" t="s">
        <v>35</v>
      </c>
      <c r="K901" t="s">
        <v>19</v>
      </c>
      <c r="L901" s="5">
        <f t="shared" si="14"/>
        <v>18800</v>
      </c>
    </row>
    <row r="902" spans="1:12" x14ac:dyDescent="0.3">
      <c r="A902" t="s">
        <v>1352</v>
      </c>
      <c r="B902" t="s">
        <v>173</v>
      </c>
      <c r="C902" s="2">
        <v>45916</v>
      </c>
      <c r="D902" t="s">
        <v>14</v>
      </c>
      <c r="E902" t="s">
        <v>15</v>
      </c>
      <c r="F902" t="s">
        <v>59</v>
      </c>
      <c r="G902" t="s">
        <v>60</v>
      </c>
      <c r="H902">
        <v>3</v>
      </c>
      <c r="I902">
        <v>1650</v>
      </c>
      <c r="J902" t="s">
        <v>18</v>
      </c>
      <c r="K902" t="s">
        <v>69</v>
      </c>
      <c r="L902" s="5">
        <f t="shared" si="14"/>
        <v>4950</v>
      </c>
    </row>
    <row r="903" spans="1:12" x14ac:dyDescent="0.3">
      <c r="A903" t="s">
        <v>1353</v>
      </c>
      <c r="B903" t="s">
        <v>1354</v>
      </c>
      <c r="C903" s="2">
        <v>45735</v>
      </c>
      <c r="D903" t="s">
        <v>64</v>
      </c>
      <c r="E903" t="s">
        <v>93</v>
      </c>
      <c r="F903" t="s">
        <v>29</v>
      </c>
      <c r="G903" t="s">
        <v>100</v>
      </c>
      <c r="H903">
        <v>3</v>
      </c>
      <c r="I903">
        <v>6800</v>
      </c>
      <c r="J903" t="s">
        <v>18</v>
      </c>
      <c r="K903" t="s">
        <v>19</v>
      </c>
      <c r="L903" s="5">
        <f t="shared" si="14"/>
        <v>20400</v>
      </c>
    </row>
    <row r="904" spans="1:12" x14ac:dyDescent="0.3">
      <c r="A904" t="s">
        <v>1355</v>
      </c>
      <c r="B904" t="s">
        <v>160</v>
      </c>
      <c r="C904" s="2">
        <v>45734</v>
      </c>
      <c r="D904" t="s">
        <v>64</v>
      </c>
      <c r="E904" t="s">
        <v>93</v>
      </c>
      <c r="F904" t="s">
        <v>29</v>
      </c>
      <c r="G904" t="s">
        <v>30</v>
      </c>
      <c r="H904">
        <v>3</v>
      </c>
      <c r="I904">
        <v>4600</v>
      </c>
      <c r="J904" t="s">
        <v>41</v>
      </c>
      <c r="K904" t="s">
        <v>127</v>
      </c>
      <c r="L904" s="5">
        <f t="shared" si="14"/>
        <v>13800</v>
      </c>
    </row>
    <row r="905" spans="1:12" x14ac:dyDescent="0.3">
      <c r="A905" t="s">
        <v>1356</v>
      </c>
      <c r="B905" t="s">
        <v>110</v>
      </c>
      <c r="C905" s="2">
        <v>45846</v>
      </c>
      <c r="D905" t="s">
        <v>14</v>
      </c>
      <c r="E905" t="s">
        <v>22</v>
      </c>
      <c r="F905" t="s">
        <v>16</v>
      </c>
      <c r="G905" t="s">
        <v>134</v>
      </c>
      <c r="H905">
        <v>4</v>
      </c>
      <c r="I905">
        <v>900</v>
      </c>
      <c r="J905" t="s">
        <v>18</v>
      </c>
      <c r="K905" t="s">
        <v>69</v>
      </c>
      <c r="L905" s="5">
        <f t="shared" si="14"/>
        <v>3600</v>
      </c>
    </row>
    <row r="906" spans="1:12" x14ac:dyDescent="0.3">
      <c r="A906" t="s">
        <v>1357</v>
      </c>
      <c r="B906" t="s">
        <v>708</v>
      </c>
      <c r="C906" s="2">
        <v>45840</v>
      </c>
      <c r="D906" t="s">
        <v>33</v>
      </c>
      <c r="E906" t="s">
        <v>80</v>
      </c>
      <c r="F906" t="s">
        <v>39</v>
      </c>
      <c r="G906" t="s">
        <v>40</v>
      </c>
      <c r="H906">
        <v>2</v>
      </c>
      <c r="I906">
        <v>550</v>
      </c>
      <c r="J906" t="s">
        <v>61</v>
      </c>
      <c r="K906" t="s">
        <v>19</v>
      </c>
      <c r="L906" s="5">
        <f t="shared" si="14"/>
        <v>1100</v>
      </c>
    </row>
    <row r="907" spans="1:12" x14ac:dyDescent="0.3">
      <c r="A907" t="s">
        <v>1358</v>
      </c>
      <c r="B907" t="s">
        <v>767</v>
      </c>
      <c r="C907" s="2">
        <v>45983</v>
      </c>
      <c r="D907" t="s">
        <v>33</v>
      </c>
      <c r="E907" t="s">
        <v>34</v>
      </c>
      <c r="F907" t="s">
        <v>16</v>
      </c>
      <c r="G907" t="s">
        <v>81</v>
      </c>
      <c r="H907">
        <v>4</v>
      </c>
      <c r="I907">
        <v>1800</v>
      </c>
      <c r="J907" t="s">
        <v>41</v>
      </c>
      <c r="K907" t="s">
        <v>19</v>
      </c>
      <c r="L907" s="5">
        <f t="shared" si="14"/>
        <v>7200</v>
      </c>
    </row>
    <row r="908" spans="1:12" x14ac:dyDescent="0.3">
      <c r="A908" t="s">
        <v>1359</v>
      </c>
      <c r="B908" t="s">
        <v>142</v>
      </c>
      <c r="C908" s="2">
        <v>45777</v>
      </c>
      <c r="D908" t="s">
        <v>14</v>
      </c>
      <c r="E908" t="s">
        <v>15</v>
      </c>
      <c r="F908" t="s">
        <v>29</v>
      </c>
      <c r="G908" t="s">
        <v>90</v>
      </c>
      <c r="H908">
        <v>1</v>
      </c>
      <c r="I908">
        <v>4800</v>
      </c>
      <c r="J908" t="s">
        <v>35</v>
      </c>
      <c r="K908" t="s">
        <v>19</v>
      </c>
      <c r="L908" s="5">
        <f t="shared" si="14"/>
        <v>4800</v>
      </c>
    </row>
    <row r="909" spans="1:12" x14ac:dyDescent="0.3">
      <c r="A909" t="s">
        <v>1360</v>
      </c>
      <c r="B909" t="s">
        <v>516</v>
      </c>
      <c r="C909" s="2">
        <v>45794</v>
      </c>
      <c r="D909" t="s">
        <v>64</v>
      </c>
      <c r="E909" t="s">
        <v>99</v>
      </c>
      <c r="F909" t="s">
        <v>39</v>
      </c>
      <c r="G909" t="s">
        <v>40</v>
      </c>
      <c r="H909">
        <v>1</v>
      </c>
      <c r="I909">
        <v>950</v>
      </c>
      <c r="J909" t="s">
        <v>115</v>
      </c>
      <c r="K909" t="s">
        <v>19</v>
      </c>
      <c r="L909" s="5">
        <f t="shared" si="14"/>
        <v>950</v>
      </c>
    </row>
    <row r="910" spans="1:12" x14ac:dyDescent="0.3">
      <c r="A910" t="s">
        <v>1361</v>
      </c>
      <c r="B910" t="s">
        <v>77</v>
      </c>
      <c r="C910" s="2">
        <v>45737</v>
      </c>
      <c r="D910" t="s">
        <v>33</v>
      </c>
      <c r="E910" t="s">
        <v>38</v>
      </c>
      <c r="F910" t="s">
        <v>59</v>
      </c>
      <c r="G910" t="s">
        <v>228</v>
      </c>
      <c r="H910">
        <v>1</v>
      </c>
      <c r="I910">
        <v>3800</v>
      </c>
      <c r="J910" t="s">
        <v>61</v>
      </c>
      <c r="K910" t="s">
        <v>69</v>
      </c>
      <c r="L910" s="5">
        <f t="shared" si="14"/>
        <v>3800</v>
      </c>
    </row>
    <row r="911" spans="1:12" x14ac:dyDescent="0.3">
      <c r="A911" t="s">
        <v>1362</v>
      </c>
      <c r="B911" t="s">
        <v>175</v>
      </c>
      <c r="C911" s="2">
        <v>45926</v>
      </c>
      <c r="D911" t="s">
        <v>33</v>
      </c>
      <c r="E911" t="s">
        <v>34</v>
      </c>
      <c r="F911" t="s">
        <v>29</v>
      </c>
      <c r="G911" t="s">
        <v>184</v>
      </c>
      <c r="H911">
        <v>5</v>
      </c>
      <c r="I911">
        <v>7000</v>
      </c>
      <c r="J911" t="s">
        <v>41</v>
      </c>
      <c r="K911" t="s">
        <v>127</v>
      </c>
      <c r="L911" s="5">
        <f t="shared" si="14"/>
        <v>35000</v>
      </c>
    </row>
    <row r="912" spans="1:12" x14ac:dyDescent="0.3">
      <c r="A912" t="s">
        <v>1363</v>
      </c>
      <c r="B912" t="s">
        <v>752</v>
      </c>
      <c r="C912" s="2">
        <v>45820</v>
      </c>
      <c r="D912" t="s">
        <v>46</v>
      </c>
      <c r="E912" t="s">
        <v>75</v>
      </c>
      <c r="F912" t="s">
        <v>59</v>
      </c>
      <c r="G912" t="s">
        <v>163</v>
      </c>
      <c r="H912">
        <v>1</v>
      </c>
      <c r="I912">
        <v>1750</v>
      </c>
      <c r="J912" t="s">
        <v>18</v>
      </c>
      <c r="K912" t="s">
        <v>19</v>
      </c>
      <c r="L912" s="5">
        <f t="shared" si="14"/>
        <v>1750</v>
      </c>
    </row>
    <row r="913" spans="1:12" x14ac:dyDescent="0.3">
      <c r="A913" t="s">
        <v>1364</v>
      </c>
      <c r="B913" t="s">
        <v>435</v>
      </c>
      <c r="C913" s="2">
        <v>45868</v>
      </c>
      <c r="D913" t="s">
        <v>33</v>
      </c>
      <c r="E913" t="s">
        <v>34</v>
      </c>
      <c r="F913" t="s">
        <v>16</v>
      </c>
      <c r="G913" t="s">
        <v>48</v>
      </c>
      <c r="H913">
        <v>2</v>
      </c>
      <c r="I913">
        <v>2750</v>
      </c>
      <c r="J913" t="s">
        <v>18</v>
      </c>
      <c r="K913" t="s">
        <v>19</v>
      </c>
      <c r="L913" s="5">
        <f t="shared" si="14"/>
        <v>5500</v>
      </c>
    </row>
    <row r="914" spans="1:12" x14ac:dyDescent="0.3">
      <c r="A914" t="s">
        <v>1365</v>
      </c>
      <c r="B914" t="s">
        <v>458</v>
      </c>
      <c r="C914" s="2">
        <v>45965</v>
      </c>
      <c r="D914" t="s">
        <v>14</v>
      </c>
      <c r="E914" t="s">
        <v>51</v>
      </c>
      <c r="F914" t="s">
        <v>39</v>
      </c>
      <c r="G914" t="s">
        <v>52</v>
      </c>
      <c r="H914">
        <v>1</v>
      </c>
      <c r="I914">
        <v>4200</v>
      </c>
      <c r="J914" t="s">
        <v>115</v>
      </c>
      <c r="K914" t="s">
        <v>19</v>
      </c>
      <c r="L914" s="5">
        <f t="shared" si="14"/>
        <v>4200</v>
      </c>
    </row>
    <row r="915" spans="1:12" x14ac:dyDescent="0.3">
      <c r="A915" t="s">
        <v>1366</v>
      </c>
      <c r="B915" t="s">
        <v>432</v>
      </c>
      <c r="C915" s="2">
        <v>45891</v>
      </c>
      <c r="D915" t="s">
        <v>46</v>
      </c>
      <c r="E915" t="s">
        <v>72</v>
      </c>
      <c r="F915" t="s">
        <v>23</v>
      </c>
      <c r="G915" t="s">
        <v>140</v>
      </c>
      <c r="H915">
        <v>1</v>
      </c>
      <c r="I915">
        <v>44500</v>
      </c>
      <c r="J915" t="s">
        <v>18</v>
      </c>
      <c r="K915" t="s">
        <v>127</v>
      </c>
      <c r="L915" s="5">
        <f t="shared" si="14"/>
        <v>44500</v>
      </c>
    </row>
    <row r="916" spans="1:12" x14ac:dyDescent="0.3">
      <c r="A916" t="s">
        <v>1367</v>
      </c>
      <c r="B916" t="s">
        <v>350</v>
      </c>
      <c r="C916" s="2">
        <v>45888</v>
      </c>
      <c r="D916" t="s">
        <v>33</v>
      </c>
      <c r="E916" t="s">
        <v>68</v>
      </c>
      <c r="F916" t="s">
        <v>16</v>
      </c>
      <c r="G916" t="s">
        <v>134</v>
      </c>
      <c r="H916">
        <v>3</v>
      </c>
      <c r="I916">
        <v>6550</v>
      </c>
      <c r="J916" t="s">
        <v>18</v>
      </c>
      <c r="K916" t="s">
        <v>19</v>
      </c>
      <c r="L916" s="5">
        <f t="shared" si="14"/>
        <v>19650</v>
      </c>
    </row>
    <row r="917" spans="1:12" x14ac:dyDescent="0.3">
      <c r="A917" t="s">
        <v>1368</v>
      </c>
      <c r="B917" t="s">
        <v>693</v>
      </c>
      <c r="C917" s="2">
        <v>45892</v>
      </c>
      <c r="D917" t="s">
        <v>33</v>
      </c>
      <c r="E917" t="s">
        <v>80</v>
      </c>
      <c r="F917" t="s">
        <v>23</v>
      </c>
      <c r="G917" t="s">
        <v>140</v>
      </c>
      <c r="H917">
        <v>2</v>
      </c>
      <c r="I917">
        <v>15500</v>
      </c>
      <c r="J917" t="s">
        <v>18</v>
      </c>
      <c r="K917" t="s">
        <v>69</v>
      </c>
      <c r="L917" s="5">
        <f t="shared" si="14"/>
        <v>31000</v>
      </c>
    </row>
    <row r="918" spans="1:12" x14ac:dyDescent="0.3">
      <c r="A918" t="s">
        <v>1369</v>
      </c>
      <c r="B918" t="s">
        <v>317</v>
      </c>
      <c r="C918" s="2">
        <v>45974</v>
      </c>
      <c r="D918" t="s">
        <v>33</v>
      </c>
      <c r="E918" t="s">
        <v>68</v>
      </c>
      <c r="F918" t="s">
        <v>29</v>
      </c>
      <c r="G918" t="s">
        <v>90</v>
      </c>
      <c r="H918">
        <v>2</v>
      </c>
      <c r="I918">
        <v>5850</v>
      </c>
      <c r="J918" t="s">
        <v>61</v>
      </c>
      <c r="K918" t="s">
        <v>69</v>
      </c>
      <c r="L918" s="5">
        <f t="shared" si="14"/>
        <v>11700</v>
      </c>
    </row>
    <row r="919" spans="1:12" x14ac:dyDescent="0.3">
      <c r="A919" t="s">
        <v>1370</v>
      </c>
      <c r="B919" t="s">
        <v>337</v>
      </c>
      <c r="C919" s="2">
        <v>45658</v>
      </c>
      <c r="D919" t="s">
        <v>14</v>
      </c>
      <c r="E919" t="s">
        <v>15</v>
      </c>
      <c r="F919" t="s">
        <v>16</v>
      </c>
      <c r="G919" t="s">
        <v>134</v>
      </c>
      <c r="H919">
        <v>3</v>
      </c>
      <c r="I919">
        <v>1350</v>
      </c>
      <c r="J919" t="s">
        <v>18</v>
      </c>
      <c r="K919" t="s">
        <v>19</v>
      </c>
      <c r="L919" s="5">
        <f t="shared" si="14"/>
        <v>4050</v>
      </c>
    </row>
    <row r="920" spans="1:12" x14ac:dyDescent="0.3">
      <c r="A920" t="s">
        <v>1371</v>
      </c>
      <c r="B920" t="s">
        <v>687</v>
      </c>
      <c r="C920" s="2">
        <v>45862</v>
      </c>
      <c r="D920" t="s">
        <v>33</v>
      </c>
      <c r="E920" t="s">
        <v>80</v>
      </c>
      <c r="F920" t="s">
        <v>23</v>
      </c>
      <c r="G920" t="s">
        <v>56</v>
      </c>
      <c r="H920">
        <v>1</v>
      </c>
      <c r="I920">
        <v>37250</v>
      </c>
      <c r="J920" t="s">
        <v>18</v>
      </c>
      <c r="K920" t="s">
        <v>19</v>
      </c>
      <c r="L920" s="5">
        <f t="shared" si="14"/>
        <v>37250</v>
      </c>
    </row>
    <row r="921" spans="1:12" x14ac:dyDescent="0.3">
      <c r="A921" t="s">
        <v>1372</v>
      </c>
      <c r="B921" t="s">
        <v>657</v>
      </c>
      <c r="C921" s="2">
        <v>45717</v>
      </c>
      <c r="D921" t="s">
        <v>46</v>
      </c>
      <c r="E921" t="s">
        <v>47</v>
      </c>
      <c r="F921" t="s">
        <v>29</v>
      </c>
      <c r="G921" t="s">
        <v>96</v>
      </c>
      <c r="H921">
        <v>1</v>
      </c>
      <c r="I921">
        <v>1300</v>
      </c>
      <c r="J921" t="s">
        <v>18</v>
      </c>
      <c r="K921" t="s">
        <v>19</v>
      </c>
      <c r="L921" s="5">
        <f t="shared" si="14"/>
        <v>1300</v>
      </c>
    </row>
    <row r="922" spans="1:12" x14ac:dyDescent="0.3">
      <c r="A922" t="s">
        <v>1373</v>
      </c>
      <c r="B922" t="s">
        <v>800</v>
      </c>
      <c r="C922" s="2">
        <v>45880</v>
      </c>
      <c r="D922" t="s">
        <v>14</v>
      </c>
      <c r="E922" t="s">
        <v>22</v>
      </c>
      <c r="F922" t="s">
        <v>16</v>
      </c>
      <c r="G922" t="s">
        <v>81</v>
      </c>
      <c r="H922">
        <v>1</v>
      </c>
      <c r="I922">
        <v>3850</v>
      </c>
      <c r="J922" t="s">
        <v>18</v>
      </c>
      <c r="K922" t="s">
        <v>19</v>
      </c>
      <c r="L922" s="5">
        <f t="shared" si="14"/>
        <v>3850</v>
      </c>
    </row>
    <row r="923" spans="1:12" x14ac:dyDescent="0.3">
      <c r="A923" t="s">
        <v>1374</v>
      </c>
      <c r="B923" t="s">
        <v>209</v>
      </c>
      <c r="C923" s="2">
        <v>45792</v>
      </c>
      <c r="D923" t="s">
        <v>33</v>
      </c>
      <c r="E923" t="s">
        <v>80</v>
      </c>
      <c r="F923" t="s">
        <v>23</v>
      </c>
      <c r="G923" t="s">
        <v>137</v>
      </c>
      <c r="H923">
        <v>5</v>
      </c>
      <c r="I923">
        <v>21050</v>
      </c>
      <c r="J923" t="s">
        <v>18</v>
      </c>
      <c r="K923" t="s">
        <v>19</v>
      </c>
      <c r="L923" s="5">
        <f t="shared" si="14"/>
        <v>105250</v>
      </c>
    </row>
    <row r="924" spans="1:12" x14ac:dyDescent="0.3">
      <c r="A924" t="s">
        <v>1375</v>
      </c>
      <c r="B924" t="s">
        <v>244</v>
      </c>
      <c r="C924" s="2">
        <v>45661</v>
      </c>
      <c r="D924" t="s">
        <v>64</v>
      </c>
      <c r="E924" t="s">
        <v>65</v>
      </c>
      <c r="F924" t="s">
        <v>29</v>
      </c>
      <c r="G924" t="s">
        <v>96</v>
      </c>
      <c r="H924">
        <v>2</v>
      </c>
      <c r="I924">
        <v>7200</v>
      </c>
      <c r="J924" t="s">
        <v>41</v>
      </c>
      <c r="K924" t="s">
        <v>19</v>
      </c>
      <c r="L924" s="5">
        <f t="shared" si="14"/>
        <v>14400</v>
      </c>
    </row>
    <row r="925" spans="1:12" x14ac:dyDescent="0.3">
      <c r="A925" t="s">
        <v>1376</v>
      </c>
      <c r="B925" t="s">
        <v>1377</v>
      </c>
      <c r="C925" s="2">
        <v>45764</v>
      </c>
      <c r="D925" t="s">
        <v>33</v>
      </c>
      <c r="E925" t="s">
        <v>80</v>
      </c>
      <c r="F925" t="s">
        <v>16</v>
      </c>
      <c r="G925" t="s">
        <v>48</v>
      </c>
      <c r="H925">
        <v>2</v>
      </c>
      <c r="I925">
        <v>4750</v>
      </c>
      <c r="J925" t="s">
        <v>41</v>
      </c>
      <c r="K925" t="s">
        <v>19</v>
      </c>
      <c r="L925" s="5">
        <f t="shared" si="14"/>
        <v>9500</v>
      </c>
    </row>
    <row r="926" spans="1:12" x14ac:dyDescent="0.3">
      <c r="A926" t="s">
        <v>1378</v>
      </c>
      <c r="B926" t="s">
        <v>234</v>
      </c>
      <c r="C926" s="2">
        <v>45941</v>
      </c>
      <c r="D926" t="s">
        <v>33</v>
      </c>
      <c r="E926" t="s">
        <v>34</v>
      </c>
      <c r="F926" t="s">
        <v>39</v>
      </c>
      <c r="G926" t="s">
        <v>52</v>
      </c>
      <c r="H926">
        <v>1</v>
      </c>
      <c r="I926">
        <v>8350</v>
      </c>
      <c r="J926" t="s">
        <v>18</v>
      </c>
      <c r="K926" t="s">
        <v>19</v>
      </c>
      <c r="L926" s="5">
        <f t="shared" si="14"/>
        <v>8350</v>
      </c>
    </row>
    <row r="927" spans="1:12" x14ac:dyDescent="0.3">
      <c r="A927" t="s">
        <v>1379</v>
      </c>
      <c r="B927" t="s">
        <v>1084</v>
      </c>
      <c r="C927" s="2">
        <v>45784</v>
      </c>
      <c r="D927" t="s">
        <v>33</v>
      </c>
      <c r="E927" t="s">
        <v>80</v>
      </c>
      <c r="F927" t="s">
        <v>39</v>
      </c>
      <c r="G927" t="s">
        <v>146</v>
      </c>
      <c r="H927">
        <v>2</v>
      </c>
      <c r="I927">
        <v>8900</v>
      </c>
      <c r="J927" t="s">
        <v>18</v>
      </c>
      <c r="K927" t="s">
        <v>19</v>
      </c>
      <c r="L927" s="5">
        <f t="shared" si="14"/>
        <v>17800</v>
      </c>
    </row>
    <row r="928" spans="1:12" x14ac:dyDescent="0.3">
      <c r="A928" t="s">
        <v>1380</v>
      </c>
      <c r="B928" t="s">
        <v>1381</v>
      </c>
      <c r="C928" s="2">
        <v>45796</v>
      </c>
      <c r="D928" t="s">
        <v>14</v>
      </c>
      <c r="E928" t="s">
        <v>15</v>
      </c>
      <c r="F928" t="s">
        <v>23</v>
      </c>
      <c r="G928" t="s">
        <v>24</v>
      </c>
      <c r="H928">
        <v>1</v>
      </c>
      <c r="I928">
        <v>51900</v>
      </c>
      <c r="J928" t="s">
        <v>41</v>
      </c>
      <c r="K928" t="s">
        <v>69</v>
      </c>
      <c r="L928" s="5">
        <f t="shared" si="14"/>
        <v>51900</v>
      </c>
    </row>
    <row r="929" spans="1:12" x14ac:dyDescent="0.3">
      <c r="A929" t="s">
        <v>1382</v>
      </c>
      <c r="B929" t="s">
        <v>1383</v>
      </c>
      <c r="C929" s="2">
        <v>46015</v>
      </c>
      <c r="D929" t="s">
        <v>64</v>
      </c>
      <c r="E929" t="s">
        <v>99</v>
      </c>
      <c r="F929" t="s">
        <v>29</v>
      </c>
      <c r="G929" t="s">
        <v>100</v>
      </c>
      <c r="H929">
        <v>2</v>
      </c>
      <c r="I929">
        <v>2250</v>
      </c>
      <c r="J929" t="s">
        <v>18</v>
      </c>
      <c r="K929" t="s">
        <v>19</v>
      </c>
      <c r="L929" s="5">
        <f t="shared" si="14"/>
        <v>4500</v>
      </c>
    </row>
    <row r="930" spans="1:12" x14ac:dyDescent="0.3">
      <c r="A930" t="s">
        <v>1384</v>
      </c>
      <c r="B930" t="s">
        <v>894</v>
      </c>
      <c r="C930" s="2">
        <v>45902</v>
      </c>
      <c r="D930" t="s">
        <v>46</v>
      </c>
      <c r="E930" t="s">
        <v>47</v>
      </c>
      <c r="F930" t="s">
        <v>29</v>
      </c>
      <c r="G930" t="s">
        <v>30</v>
      </c>
      <c r="H930">
        <v>4</v>
      </c>
      <c r="I930">
        <v>1000</v>
      </c>
      <c r="J930" t="s">
        <v>18</v>
      </c>
      <c r="K930" t="s">
        <v>127</v>
      </c>
      <c r="L930" s="5">
        <f t="shared" si="14"/>
        <v>4000</v>
      </c>
    </row>
    <row r="931" spans="1:12" x14ac:dyDescent="0.3">
      <c r="A931" t="s">
        <v>1385</v>
      </c>
      <c r="B931" t="s">
        <v>900</v>
      </c>
      <c r="C931" s="2">
        <v>45676</v>
      </c>
      <c r="D931" t="s">
        <v>14</v>
      </c>
      <c r="E931" t="s">
        <v>15</v>
      </c>
      <c r="F931" t="s">
        <v>59</v>
      </c>
      <c r="G931" t="s">
        <v>103</v>
      </c>
      <c r="H931">
        <v>2</v>
      </c>
      <c r="I931">
        <v>3900</v>
      </c>
      <c r="J931" t="s">
        <v>18</v>
      </c>
      <c r="K931" t="s">
        <v>19</v>
      </c>
      <c r="L931" s="5">
        <f t="shared" si="14"/>
        <v>7800</v>
      </c>
    </row>
    <row r="932" spans="1:12" x14ac:dyDescent="0.3">
      <c r="A932" t="s">
        <v>1386</v>
      </c>
      <c r="B932" t="s">
        <v>772</v>
      </c>
      <c r="C932" s="2">
        <v>45893</v>
      </c>
      <c r="D932" t="s">
        <v>46</v>
      </c>
      <c r="E932" t="s">
        <v>72</v>
      </c>
      <c r="F932" t="s">
        <v>29</v>
      </c>
      <c r="G932" t="s">
        <v>184</v>
      </c>
      <c r="H932">
        <v>1</v>
      </c>
      <c r="I932">
        <v>4000</v>
      </c>
      <c r="J932" t="s">
        <v>35</v>
      </c>
      <c r="K932" t="s">
        <v>69</v>
      </c>
      <c r="L932" s="5">
        <f t="shared" si="14"/>
        <v>4000</v>
      </c>
    </row>
    <row r="933" spans="1:12" x14ac:dyDescent="0.3">
      <c r="A933" t="s">
        <v>1387</v>
      </c>
      <c r="B933" t="s">
        <v>679</v>
      </c>
      <c r="C933" s="2">
        <v>45695</v>
      </c>
      <c r="D933" t="s">
        <v>64</v>
      </c>
      <c r="E933" t="s">
        <v>93</v>
      </c>
      <c r="F933" t="s">
        <v>39</v>
      </c>
      <c r="G933" t="s">
        <v>44</v>
      </c>
      <c r="H933">
        <v>1</v>
      </c>
      <c r="I933">
        <v>6800</v>
      </c>
      <c r="J933" t="s">
        <v>18</v>
      </c>
      <c r="K933" t="s">
        <v>19</v>
      </c>
      <c r="L933" s="5">
        <f t="shared" si="14"/>
        <v>6800</v>
      </c>
    </row>
    <row r="934" spans="1:12" x14ac:dyDescent="0.3">
      <c r="A934" t="s">
        <v>1388</v>
      </c>
      <c r="B934" t="s">
        <v>1383</v>
      </c>
      <c r="C934" s="2">
        <v>45981</v>
      </c>
      <c r="D934" t="s">
        <v>46</v>
      </c>
      <c r="E934" t="s">
        <v>72</v>
      </c>
      <c r="F934" t="s">
        <v>39</v>
      </c>
      <c r="G934" t="s">
        <v>40</v>
      </c>
      <c r="H934">
        <v>1</v>
      </c>
      <c r="I934">
        <v>1950</v>
      </c>
      <c r="J934" t="s">
        <v>61</v>
      </c>
      <c r="K934" t="s">
        <v>19</v>
      </c>
      <c r="L934" s="5">
        <f t="shared" si="14"/>
        <v>1950</v>
      </c>
    </row>
    <row r="935" spans="1:12" x14ac:dyDescent="0.3">
      <c r="A935" t="s">
        <v>1389</v>
      </c>
      <c r="B935" t="s">
        <v>266</v>
      </c>
      <c r="C935" s="2">
        <v>45772</v>
      </c>
      <c r="D935" t="s">
        <v>14</v>
      </c>
      <c r="E935" t="s">
        <v>51</v>
      </c>
      <c r="F935" t="s">
        <v>39</v>
      </c>
      <c r="G935" t="s">
        <v>44</v>
      </c>
      <c r="H935">
        <v>2</v>
      </c>
      <c r="I935">
        <v>7050</v>
      </c>
      <c r="J935" t="s">
        <v>115</v>
      </c>
      <c r="K935" t="s">
        <v>19</v>
      </c>
      <c r="L935" s="5">
        <f t="shared" si="14"/>
        <v>14100</v>
      </c>
    </row>
    <row r="936" spans="1:12" x14ac:dyDescent="0.3">
      <c r="A936" t="s">
        <v>1390</v>
      </c>
      <c r="B936" t="s">
        <v>399</v>
      </c>
      <c r="C936" s="2">
        <v>45784</v>
      </c>
      <c r="D936" t="s">
        <v>46</v>
      </c>
      <c r="E936" t="s">
        <v>72</v>
      </c>
      <c r="F936" t="s">
        <v>23</v>
      </c>
      <c r="G936" t="s">
        <v>24</v>
      </c>
      <c r="H936">
        <v>1</v>
      </c>
      <c r="I936">
        <v>59550</v>
      </c>
      <c r="J936" t="s">
        <v>41</v>
      </c>
      <c r="K936" t="s">
        <v>19</v>
      </c>
      <c r="L936" s="5">
        <f t="shared" si="14"/>
        <v>59550</v>
      </c>
    </row>
    <row r="937" spans="1:12" x14ac:dyDescent="0.3">
      <c r="A937" t="s">
        <v>1391</v>
      </c>
      <c r="B937" t="s">
        <v>203</v>
      </c>
      <c r="C937" s="2">
        <v>45921</v>
      </c>
      <c r="D937" t="s">
        <v>64</v>
      </c>
      <c r="E937" t="s">
        <v>65</v>
      </c>
      <c r="F937" t="s">
        <v>29</v>
      </c>
      <c r="G937" t="s">
        <v>96</v>
      </c>
      <c r="H937">
        <v>2</v>
      </c>
      <c r="I937">
        <v>2750</v>
      </c>
      <c r="J937" t="s">
        <v>18</v>
      </c>
      <c r="K937" t="s">
        <v>127</v>
      </c>
      <c r="L937" s="5">
        <f t="shared" si="14"/>
        <v>5500</v>
      </c>
    </row>
    <row r="938" spans="1:12" x14ac:dyDescent="0.3">
      <c r="A938" t="s">
        <v>1392</v>
      </c>
      <c r="B938" t="s">
        <v>201</v>
      </c>
      <c r="C938" s="2">
        <v>45853</v>
      </c>
      <c r="D938" t="s">
        <v>64</v>
      </c>
      <c r="E938" t="s">
        <v>99</v>
      </c>
      <c r="F938" t="s">
        <v>39</v>
      </c>
      <c r="G938" t="s">
        <v>146</v>
      </c>
      <c r="H938">
        <v>1</v>
      </c>
      <c r="I938">
        <v>3100</v>
      </c>
      <c r="J938" t="s">
        <v>18</v>
      </c>
      <c r="K938" t="s">
        <v>19</v>
      </c>
      <c r="L938" s="5">
        <f t="shared" si="14"/>
        <v>3100</v>
      </c>
    </row>
    <row r="939" spans="1:12" x14ac:dyDescent="0.3">
      <c r="A939" t="s">
        <v>1393</v>
      </c>
      <c r="B939" t="s">
        <v>920</v>
      </c>
      <c r="C939" s="2">
        <v>45961</v>
      </c>
      <c r="D939" t="s">
        <v>14</v>
      </c>
      <c r="E939" t="s">
        <v>22</v>
      </c>
      <c r="F939" t="s">
        <v>16</v>
      </c>
      <c r="G939" t="s">
        <v>48</v>
      </c>
      <c r="H939">
        <v>1</v>
      </c>
      <c r="I939">
        <v>2900</v>
      </c>
      <c r="J939" t="s">
        <v>115</v>
      </c>
      <c r="K939" t="s">
        <v>19</v>
      </c>
      <c r="L939" s="5">
        <f t="shared" si="14"/>
        <v>2900</v>
      </c>
    </row>
    <row r="940" spans="1:12" x14ac:dyDescent="0.3">
      <c r="A940" t="s">
        <v>1394</v>
      </c>
      <c r="B940" t="s">
        <v>872</v>
      </c>
      <c r="C940" s="2">
        <v>45785</v>
      </c>
      <c r="D940" t="s">
        <v>64</v>
      </c>
      <c r="E940" t="s">
        <v>93</v>
      </c>
      <c r="F940" t="s">
        <v>39</v>
      </c>
      <c r="G940" t="s">
        <v>40</v>
      </c>
      <c r="H940">
        <v>2</v>
      </c>
      <c r="I940">
        <v>1050</v>
      </c>
      <c r="J940" t="s">
        <v>61</v>
      </c>
      <c r="K940" t="s">
        <v>19</v>
      </c>
      <c r="L940" s="5">
        <f t="shared" si="14"/>
        <v>2100</v>
      </c>
    </row>
    <row r="941" spans="1:12" x14ac:dyDescent="0.3">
      <c r="A941" t="s">
        <v>1395</v>
      </c>
      <c r="B941" t="s">
        <v>1302</v>
      </c>
      <c r="C941" s="2">
        <v>45686</v>
      </c>
      <c r="D941" t="s">
        <v>64</v>
      </c>
      <c r="E941" t="s">
        <v>86</v>
      </c>
      <c r="F941" t="s">
        <v>59</v>
      </c>
      <c r="G941" t="s">
        <v>322</v>
      </c>
      <c r="H941">
        <v>3</v>
      </c>
      <c r="I941">
        <v>2400</v>
      </c>
      <c r="J941" t="s">
        <v>41</v>
      </c>
      <c r="K941" t="s">
        <v>127</v>
      </c>
      <c r="L941" s="5">
        <f t="shared" si="14"/>
        <v>7200</v>
      </c>
    </row>
    <row r="942" spans="1:12" x14ac:dyDescent="0.3">
      <c r="A942" t="s">
        <v>1396</v>
      </c>
      <c r="B942" t="s">
        <v>258</v>
      </c>
      <c r="C942" s="2">
        <v>45900</v>
      </c>
      <c r="D942" t="s">
        <v>33</v>
      </c>
      <c r="E942" t="s">
        <v>80</v>
      </c>
      <c r="F942" t="s">
        <v>16</v>
      </c>
      <c r="G942" t="s">
        <v>81</v>
      </c>
      <c r="H942">
        <v>3</v>
      </c>
      <c r="I942">
        <v>350</v>
      </c>
      <c r="J942" t="s">
        <v>61</v>
      </c>
      <c r="K942" t="s">
        <v>19</v>
      </c>
      <c r="L942" s="5">
        <f t="shared" si="14"/>
        <v>1050</v>
      </c>
    </row>
    <row r="943" spans="1:12" x14ac:dyDescent="0.3">
      <c r="A943" t="s">
        <v>1397</v>
      </c>
      <c r="B943" t="s">
        <v>205</v>
      </c>
      <c r="C943" s="2">
        <v>45920</v>
      </c>
      <c r="D943" t="s">
        <v>46</v>
      </c>
      <c r="E943" t="s">
        <v>75</v>
      </c>
      <c r="F943" t="s">
        <v>23</v>
      </c>
      <c r="G943" t="s">
        <v>137</v>
      </c>
      <c r="H943">
        <v>1</v>
      </c>
      <c r="I943">
        <v>7050</v>
      </c>
      <c r="J943" t="s">
        <v>61</v>
      </c>
      <c r="K943" t="s">
        <v>19</v>
      </c>
      <c r="L943" s="5">
        <f t="shared" si="14"/>
        <v>7050</v>
      </c>
    </row>
    <row r="944" spans="1:12" x14ac:dyDescent="0.3">
      <c r="A944" t="s">
        <v>1398</v>
      </c>
      <c r="B944" t="s">
        <v>557</v>
      </c>
      <c r="C944" s="2">
        <v>45733</v>
      </c>
      <c r="D944" t="s">
        <v>14</v>
      </c>
      <c r="E944" t="s">
        <v>28</v>
      </c>
      <c r="F944" t="s">
        <v>39</v>
      </c>
      <c r="G944" t="s">
        <v>40</v>
      </c>
      <c r="H944">
        <v>2</v>
      </c>
      <c r="I944">
        <v>1450</v>
      </c>
      <c r="J944" t="s">
        <v>61</v>
      </c>
      <c r="K944" t="s">
        <v>19</v>
      </c>
      <c r="L944" s="5">
        <f t="shared" si="14"/>
        <v>2900</v>
      </c>
    </row>
    <row r="945" spans="1:12" x14ac:dyDescent="0.3">
      <c r="A945" t="s">
        <v>1399</v>
      </c>
      <c r="B945" t="s">
        <v>225</v>
      </c>
      <c r="C945" s="2">
        <v>45793</v>
      </c>
      <c r="D945" t="s">
        <v>14</v>
      </c>
      <c r="E945" t="s">
        <v>51</v>
      </c>
      <c r="F945" t="s">
        <v>23</v>
      </c>
      <c r="G945" t="s">
        <v>56</v>
      </c>
      <c r="H945">
        <v>2</v>
      </c>
      <c r="I945">
        <v>62450</v>
      </c>
      <c r="J945" t="s">
        <v>61</v>
      </c>
      <c r="K945" t="s">
        <v>19</v>
      </c>
      <c r="L945" s="5">
        <f t="shared" si="14"/>
        <v>124900</v>
      </c>
    </row>
    <row r="946" spans="1:12" x14ac:dyDescent="0.3">
      <c r="A946" t="s">
        <v>1400</v>
      </c>
      <c r="B946" t="s">
        <v>1144</v>
      </c>
      <c r="C946" s="2">
        <v>45762</v>
      </c>
      <c r="D946" t="s">
        <v>14</v>
      </c>
      <c r="E946" t="s">
        <v>28</v>
      </c>
      <c r="F946" t="s">
        <v>23</v>
      </c>
      <c r="G946" t="s">
        <v>56</v>
      </c>
      <c r="H946">
        <v>1</v>
      </c>
      <c r="I946">
        <v>41300</v>
      </c>
      <c r="J946" t="s">
        <v>115</v>
      </c>
      <c r="K946" t="s">
        <v>19</v>
      </c>
      <c r="L946" s="5">
        <f t="shared" si="14"/>
        <v>41300</v>
      </c>
    </row>
    <row r="947" spans="1:12" x14ac:dyDescent="0.3">
      <c r="A947" t="s">
        <v>1401</v>
      </c>
      <c r="B947" t="s">
        <v>124</v>
      </c>
      <c r="C947" s="2">
        <v>45976</v>
      </c>
      <c r="D947" t="s">
        <v>46</v>
      </c>
      <c r="E947" t="s">
        <v>55</v>
      </c>
      <c r="F947" t="s">
        <v>23</v>
      </c>
      <c r="G947" t="s">
        <v>56</v>
      </c>
      <c r="H947">
        <v>1</v>
      </c>
      <c r="I947">
        <v>37400</v>
      </c>
      <c r="J947" t="s">
        <v>41</v>
      </c>
      <c r="K947" t="s">
        <v>19</v>
      </c>
      <c r="L947" s="5">
        <f t="shared" si="14"/>
        <v>37400</v>
      </c>
    </row>
    <row r="948" spans="1:12" x14ac:dyDescent="0.3">
      <c r="A948" t="s">
        <v>1402</v>
      </c>
      <c r="B948" t="s">
        <v>363</v>
      </c>
      <c r="C948" s="2">
        <v>45922</v>
      </c>
      <c r="D948" t="s">
        <v>64</v>
      </c>
      <c r="E948" t="s">
        <v>93</v>
      </c>
      <c r="F948" t="s">
        <v>39</v>
      </c>
      <c r="G948" t="s">
        <v>40</v>
      </c>
      <c r="H948">
        <v>4</v>
      </c>
      <c r="I948">
        <v>5550</v>
      </c>
      <c r="J948" t="s">
        <v>115</v>
      </c>
      <c r="K948" t="s">
        <v>19</v>
      </c>
      <c r="L948" s="5">
        <f t="shared" si="14"/>
        <v>22200</v>
      </c>
    </row>
    <row r="949" spans="1:12" x14ac:dyDescent="0.3">
      <c r="A949" t="s">
        <v>1403</v>
      </c>
      <c r="B949" t="s">
        <v>813</v>
      </c>
      <c r="C949" s="2">
        <v>45734</v>
      </c>
      <c r="D949" t="s">
        <v>64</v>
      </c>
      <c r="E949" t="s">
        <v>65</v>
      </c>
      <c r="F949" t="s">
        <v>59</v>
      </c>
      <c r="G949" t="s">
        <v>103</v>
      </c>
      <c r="H949">
        <v>1</v>
      </c>
      <c r="I949">
        <v>2750</v>
      </c>
      <c r="J949" t="s">
        <v>61</v>
      </c>
      <c r="K949" t="s">
        <v>19</v>
      </c>
      <c r="L949" s="5">
        <f t="shared" si="14"/>
        <v>2750</v>
      </c>
    </row>
    <row r="950" spans="1:12" x14ac:dyDescent="0.3">
      <c r="A950" t="s">
        <v>1404</v>
      </c>
      <c r="B950" t="s">
        <v>547</v>
      </c>
      <c r="C950" s="2">
        <v>45978</v>
      </c>
      <c r="D950" t="s">
        <v>46</v>
      </c>
      <c r="E950" t="s">
        <v>72</v>
      </c>
      <c r="F950" t="s">
        <v>16</v>
      </c>
      <c r="G950" t="s">
        <v>17</v>
      </c>
      <c r="H950">
        <v>4</v>
      </c>
      <c r="I950">
        <v>3050</v>
      </c>
      <c r="J950" t="s">
        <v>41</v>
      </c>
      <c r="K950" t="s">
        <v>19</v>
      </c>
      <c r="L950" s="5">
        <f t="shared" si="14"/>
        <v>12200</v>
      </c>
    </row>
    <row r="951" spans="1:12" x14ac:dyDescent="0.3">
      <c r="A951" t="s">
        <v>1405</v>
      </c>
      <c r="B951" t="s">
        <v>555</v>
      </c>
      <c r="C951" s="2">
        <v>45885</v>
      </c>
      <c r="D951" t="s">
        <v>46</v>
      </c>
      <c r="E951" t="s">
        <v>47</v>
      </c>
      <c r="F951" t="s">
        <v>23</v>
      </c>
      <c r="G951" t="s">
        <v>193</v>
      </c>
      <c r="H951">
        <v>4</v>
      </c>
      <c r="I951">
        <v>25550</v>
      </c>
      <c r="J951" t="s">
        <v>61</v>
      </c>
      <c r="K951" t="s">
        <v>25</v>
      </c>
      <c r="L951" s="5">
        <f t="shared" si="14"/>
        <v>102200</v>
      </c>
    </row>
    <row r="952" spans="1:12" x14ac:dyDescent="0.3">
      <c r="A952" t="s">
        <v>1406</v>
      </c>
      <c r="B952" t="s">
        <v>167</v>
      </c>
      <c r="C952" s="2">
        <v>45723</v>
      </c>
      <c r="D952" t="s">
        <v>64</v>
      </c>
      <c r="E952" t="s">
        <v>86</v>
      </c>
      <c r="F952" t="s">
        <v>59</v>
      </c>
      <c r="G952" t="s">
        <v>163</v>
      </c>
      <c r="H952">
        <v>5</v>
      </c>
      <c r="I952">
        <v>1650</v>
      </c>
      <c r="J952" t="s">
        <v>35</v>
      </c>
      <c r="K952" t="s">
        <v>19</v>
      </c>
      <c r="L952" s="5">
        <f t="shared" si="14"/>
        <v>8250</v>
      </c>
    </row>
    <row r="953" spans="1:12" x14ac:dyDescent="0.3">
      <c r="A953" t="s">
        <v>1407</v>
      </c>
      <c r="B953" t="s">
        <v>785</v>
      </c>
      <c r="C953" s="2">
        <v>45981</v>
      </c>
      <c r="D953" t="s">
        <v>46</v>
      </c>
      <c r="E953" t="s">
        <v>47</v>
      </c>
      <c r="F953" t="s">
        <v>59</v>
      </c>
      <c r="G953" t="s">
        <v>228</v>
      </c>
      <c r="H953">
        <v>1</v>
      </c>
      <c r="I953">
        <v>2750</v>
      </c>
      <c r="J953" t="s">
        <v>35</v>
      </c>
      <c r="K953" t="s">
        <v>19</v>
      </c>
      <c r="L953" s="5">
        <f t="shared" si="14"/>
        <v>2750</v>
      </c>
    </row>
    <row r="954" spans="1:12" x14ac:dyDescent="0.3">
      <c r="A954" t="s">
        <v>1408</v>
      </c>
      <c r="B954" t="s">
        <v>1354</v>
      </c>
      <c r="C954" s="2">
        <v>45854</v>
      </c>
      <c r="D954" t="s">
        <v>14</v>
      </c>
      <c r="E954" t="s">
        <v>51</v>
      </c>
      <c r="F954" t="s">
        <v>16</v>
      </c>
      <c r="G954" t="s">
        <v>17</v>
      </c>
      <c r="H954">
        <v>1</v>
      </c>
      <c r="I954">
        <v>7850</v>
      </c>
      <c r="J954" t="s">
        <v>35</v>
      </c>
      <c r="K954" t="s">
        <v>19</v>
      </c>
      <c r="L954" s="5">
        <f t="shared" si="14"/>
        <v>7850</v>
      </c>
    </row>
    <row r="955" spans="1:12" x14ac:dyDescent="0.3">
      <c r="A955" t="s">
        <v>1409</v>
      </c>
      <c r="B955" t="s">
        <v>382</v>
      </c>
      <c r="C955" s="2">
        <v>45718</v>
      </c>
      <c r="D955" t="s">
        <v>14</v>
      </c>
      <c r="E955" t="s">
        <v>51</v>
      </c>
      <c r="F955" t="s">
        <v>59</v>
      </c>
      <c r="G955" t="s">
        <v>163</v>
      </c>
      <c r="H955">
        <v>2</v>
      </c>
      <c r="I955">
        <v>4850</v>
      </c>
      <c r="J955" t="s">
        <v>18</v>
      </c>
      <c r="K955" t="s">
        <v>19</v>
      </c>
      <c r="L955" s="5">
        <f t="shared" si="14"/>
        <v>9700</v>
      </c>
    </row>
    <row r="956" spans="1:12" x14ac:dyDescent="0.3">
      <c r="A956" t="s">
        <v>1410</v>
      </c>
      <c r="B956" t="s">
        <v>1229</v>
      </c>
      <c r="C956" s="2">
        <v>45789</v>
      </c>
      <c r="D956" t="s">
        <v>64</v>
      </c>
      <c r="E956" t="s">
        <v>86</v>
      </c>
      <c r="F956" t="s">
        <v>29</v>
      </c>
      <c r="G956" t="s">
        <v>100</v>
      </c>
      <c r="H956">
        <v>4</v>
      </c>
      <c r="I956">
        <v>2700</v>
      </c>
      <c r="J956" t="s">
        <v>18</v>
      </c>
      <c r="K956" t="s">
        <v>19</v>
      </c>
      <c r="L956" s="5">
        <f t="shared" si="14"/>
        <v>10800</v>
      </c>
    </row>
    <row r="957" spans="1:12" x14ac:dyDescent="0.3">
      <c r="A957" t="s">
        <v>1411</v>
      </c>
      <c r="B957" t="s">
        <v>167</v>
      </c>
      <c r="C957" s="2">
        <v>45883</v>
      </c>
      <c r="D957" t="s">
        <v>14</v>
      </c>
      <c r="E957" t="s">
        <v>22</v>
      </c>
      <c r="F957" t="s">
        <v>23</v>
      </c>
      <c r="G957" t="s">
        <v>24</v>
      </c>
      <c r="H957">
        <v>1</v>
      </c>
      <c r="I957">
        <v>56650</v>
      </c>
      <c r="J957" t="s">
        <v>35</v>
      </c>
      <c r="K957" t="s">
        <v>19</v>
      </c>
      <c r="L957" s="5">
        <f t="shared" si="14"/>
        <v>56650</v>
      </c>
    </row>
    <row r="958" spans="1:12" x14ac:dyDescent="0.3">
      <c r="A958" t="s">
        <v>1412</v>
      </c>
      <c r="B958" t="s">
        <v>92</v>
      </c>
      <c r="C958" s="2">
        <v>45978</v>
      </c>
      <c r="D958" t="s">
        <v>33</v>
      </c>
      <c r="E958" t="s">
        <v>68</v>
      </c>
      <c r="F958" t="s">
        <v>16</v>
      </c>
      <c r="G958" t="s">
        <v>143</v>
      </c>
      <c r="H958">
        <v>1</v>
      </c>
      <c r="I958">
        <v>1050</v>
      </c>
      <c r="J958" t="s">
        <v>61</v>
      </c>
      <c r="K958" t="s">
        <v>19</v>
      </c>
      <c r="L958" s="5">
        <f t="shared" si="14"/>
        <v>1050</v>
      </c>
    </row>
    <row r="959" spans="1:12" x14ac:dyDescent="0.3">
      <c r="A959" t="s">
        <v>1413</v>
      </c>
      <c r="B959" t="s">
        <v>739</v>
      </c>
      <c r="C959" s="2">
        <v>45998</v>
      </c>
      <c r="D959" t="s">
        <v>14</v>
      </c>
      <c r="E959" t="s">
        <v>28</v>
      </c>
      <c r="F959" t="s">
        <v>59</v>
      </c>
      <c r="G959" t="s">
        <v>322</v>
      </c>
      <c r="H959">
        <v>2</v>
      </c>
      <c r="I959">
        <v>1650</v>
      </c>
      <c r="J959" t="s">
        <v>18</v>
      </c>
      <c r="K959" t="s">
        <v>19</v>
      </c>
      <c r="L959" s="5">
        <f t="shared" si="14"/>
        <v>3300</v>
      </c>
    </row>
    <row r="960" spans="1:12" x14ac:dyDescent="0.3">
      <c r="A960" t="s">
        <v>1414</v>
      </c>
      <c r="B960" t="s">
        <v>1249</v>
      </c>
      <c r="C960" s="2">
        <v>45779</v>
      </c>
      <c r="D960" t="s">
        <v>14</v>
      </c>
      <c r="E960" t="s">
        <v>51</v>
      </c>
      <c r="F960" t="s">
        <v>23</v>
      </c>
      <c r="G960" t="s">
        <v>56</v>
      </c>
      <c r="H960">
        <v>1</v>
      </c>
      <c r="I960">
        <v>64750</v>
      </c>
      <c r="J960" t="s">
        <v>18</v>
      </c>
      <c r="K960" t="s">
        <v>19</v>
      </c>
      <c r="L960" s="5">
        <f t="shared" si="14"/>
        <v>64750</v>
      </c>
    </row>
    <row r="961" spans="1:12" x14ac:dyDescent="0.3">
      <c r="A961" t="s">
        <v>1415</v>
      </c>
      <c r="B961" t="s">
        <v>975</v>
      </c>
      <c r="C961" s="2">
        <v>45862</v>
      </c>
      <c r="D961" t="s">
        <v>14</v>
      </c>
      <c r="E961" t="s">
        <v>22</v>
      </c>
      <c r="F961" t="s">
        <v>16</v>
      </c>
      <c r="G961" t="s">
        <v>134</v>
      </c>
      <c r="H961">
        <v>1</v>
      </c>
      <c r="I961">
        <v>3200</v>
      </c>
      <c r="J961" t="s">
        <v>41</v>
      </c>
      <c r="K961" t="s">
        <v>19</v>
      </c>
      <c r="L961" s="5">
        <f t="shared" si="14"/>
        <v>3200</v>
      </c>
    </row>
    <row r="962" spans="1:12" x14ac:dyDescent="0.3">
      <c r="A962" t="s">
        <v>1416</v>
      </c>
      <c r="B962" t="s">
        <v>1190</v>
      </c>
      <c r="C962" s="2">
        <v>45658</v>
      </c>
      <c r="D962" t="s">
        <v>64</v>
      </c>
      <c r="E962" t="s">
        <v>93</v>
      </c>
      <c r="F962" t="s">
        <v>16</v>
      </c>
      <c r="G962" t="s">
        <v>81</v>
      </c>
      <c r="H962">
        <v>4</v>
      </c>
      <c r="I962">
        <v>3800</v>
      </c>
      <c r="J962" t="s">
        <v>41</v>
      </c>
      <c r="K962" t="s">
        <v>19</v>
      </c>
      <c r="L962" s="5">
        <f t="shared" si="14"/>
        <v>15200</v>
      </c>
    </row>
    <row r="963" spans="1:12" x14ac:dyDescent="0.3">
      <c r="A963" t="s">
        <v>1417</v>
      </c>
      <c r="B963" t="s">
        <v>1236</v>
      </c>
      <c r="C963" s="2">
        <v>45961</v>
      </c>
      <c r="D963" t="s">
        <v>46</v>
      </c>
      <c r="E963" t="s">
        <v>55</v>
      </c>
      <c r="F963" t="s">
        <v>23</v>
      </c>
      <c r="G963" t="s">
        <v>193</v>
      </c>
      <c r="H963">
        <v>3</v>
      </c>
      <c r="I963">
        <v>11900</v>
      </c>
      <c r="J963" t="s">
        <v>18</v>
      </c>
      <c r="K963" t="s">
        <v>19</v>
      </c>
      <c r="L963" s="5">
        <f t="shared" ref="L963:L1026" si="15">H963*I963</f>
        <v>35700</v>
      </c>
    </row>
    <row r="964" spans="1:12" x14ac:dyDescent="0.3">
      <c r="A964" t="s">
        <v>1418</v>
      </c>
      <c r="B964" t="s">
        <v>110</v>
      </c>
      <c r="C964" s="2">
        <v>45692</v>
      </c>
      <c r="D964" t="s">
        <v>14</v>
      </c>
      <c r="E964" t="s">
        <v>15</v>
      </c>
      <c r="F964" t="s">
        <v>29</v>
      </c>
      <c r="G964" t="s">
        <v>96</v>
      </c>
      <c r="H964">
        <v>4</v>
      </c>
      <c r="I964">
        <v>5900</v>
      </c>
      <c r="J964" t="s">
        <v>61</v>
      </c>
      <c r="K964" t="s">
        <v>19</v>
      </c>
      <c r="L964" s="5">
        <f t="shared" si="15"/>
        <v>23600</v>
      </c>
    </row>
    <row r="965" spans="1:12" x14ac:dyDescent="0.3">
      <c r="A965" t="s">
        <v>1419</v>
      </c>
      <c r="B965" t="s">
        <v>854</v>
      </c>
      <c r="C965" s="2">
        <v>45806</v>
      </c>
      <c r="D965" t="s">
        <v>33</v>
      </c>
      <c r="E965" t="s">
        <v>38</v>
      </c>
      <c r="F965" t="s">
        <v>16</v>
      </c>
      <c r="G965" t="s">
        <v>48</v>
      </c>
      <c r="H965">
        <v>3</v>
      </c>
      <c r="I965">
        <v>8800</v>
      </c>
      <c r="J965" t="s">
        <v>41</v>
      </c>
      <c r="K965" t="s">
        <v>19</v>
      </c>
      <c r="L965" s="5">
        <f t="shared" si="15"/>
        <v>26400</v>
      </c>
    </row>
    <row r="966" spans="1:12" x14ac:dyDescent="0.3">
      <c r="A966" t="s">
        <v>1420</v>
      </c>
      <c r="B966" t="s">
        <v>859</v>
      </c>
      <c r="C966" s="2">
        <v>45931</v>
      </c>
      <c r="D966" t="s">
        <v>64</v>
      </c>
      <c r="E966" t="s">
        <v>86</v>
      </c>
      <c r="F966" t="s">
        <v>29</v>
      </c>
      <c r="G966" t="s">
        <v>184</v>
      </c>
      <c r="H966">
        <v>1</v>
      </c>
      <c r="I966">
        <v>3750</v>
      </c>
      <c r="J966" t="s">
        <v>61</v>
      </c>
      <c r="K966" t="s">
        <v>19</v>
      </c>
      <c r="L966" s="5">
        <f t="shared" si="15"/>
        <v>3750</v>
      </c>
    </row>
    <row r="967" spans="1:12" x14ac:dyDescent="0.3">
      <c r="A967" t="s">
        <v>1421</v>
      </c>
      <c r="B967" t="s">
        <v>754</v>
      </c>
      <c r="C967" s="2">
        <v>45948</v>
      </c>
      <c r="D967" t="s">
        <v>64</v>
      </c>
      <c r="E967" t="s">
        <v>65</v>
      </c>
      <c r="F967" t="s">
        <v>23</v>
      </c>
      <c r="G967" t="s">
        <v>193</v>
      </c>
      <c r="H967">
        <v>1</v>
      </c>
      <c r="I967">
        <v>47650</v>
      </c>
      <c r="J967" t="s">
        <v>35</v>
      </c>
      <c r="K967" t="s">
        <v>19</v>
      </c>
      <c r="L967" s="5">
        <f t="shared" si="15"/>
        <v>47650</v>
      </c>
    </row>
    <row r="968" spans="1:12" x14ac:dyDescent="0.3">
      <c r="A968" t="s">
        <v>1422</v>
      </c>
      <c r="B968" t="s">
        <v>460</v>
      </c>
      <c r="C968" s="2">
        <v>45930</v>
      </c>
      <c r="D968" t="s">
        <v>64</v>
      </c>
      <c r="E968" t="s">
        <v>86</v>
      </c>
      <c r="F968" t="s">
        <v>59</v>
      </c>
      <c r="G968" t="s">
        <v>228</v>
      </c>
      <c r="H968">
        <v>2</v>
      </c>
      <c r="I968">
        <v>250</v>
      </c>
      <c r="J968" t="s">
        <v>41</v>
      </c>
      <c r="K968" t="s">
        <v>127</v>
      </c>
      <c r="L968" s="5">
        <f t="shared" si="15"/>
        <v>500</v>
      </c>
    </row>
    <row r="969" spans="1:12" x14ac:dyDescent="0.3">
      <c r="A969" t="s">
        <v>1423</v>
      </c>
      <c r="B969" t="s">
        <v>1424</v>
      </c>
      <c r="C969" s="2">
        <v>45868</v>
      </c>
      <c r="D969" t="s">
        <v>14</v>
      </c>
      <c r="E969" t="s">
        <v>51</v>
      </c>
      <c r="F969" t="s">
        <v>39</v>
      </c>
      <c r="G969" t="s">
        <v>146</v>
      </c>
      <c r="H969">
        <v>1</v>
      </c>
      <c r="I969">
        <v>1300</v>
      </c>
      <c r="J969" t="s">
        <v>35</v>
      </c>
      <c r="K969" t="s">
        <v>19</v>
      </c>
      <c r="L969" s="5">
        <f t="shared" si="15"/>
        <v>1300</v>
      </c>
    </row>
    <row r="970" spans="1:12" x14ac:dyDescent="0.3">
      <c r="A970" t="s">
        <v>1425</v>
      </c>
      <c r="B970" t="s">
        <v>447</v>
      </c>
      <c r="C970" s="2">
        <v>45859</v>
      </c>
      <c r="D970" t="s">
        <v>14</v>
      </c>
      <c r="E970" t="s">
        <v>15</v>
      </c>
      <c r="F970" t="s">
        <v>23</v>
      </c>
      <c r="G970" t="s">
        <v>140</v>
      </c>
      <c r="H970">
        <v>1</v>
      </c>
      <c r="I970">
        <v>53150</v>
      </c>
      <c r="J970" t="s">
        <v>61</v>
      </c>
      <c r="K970" t="s">
        <v>19</v>
      </c>
      <c r="L970" s="5">
        <f t="shared" si="15"/>
        <v>53150</v>
      </c>
    </row>
    <row r="971" spans="1:12" x14ac:dyDescent="0.3">
      <c r="A971" t="s">
        <v>1426</v>
      </c>
      <c r="B971" t="s">
        <v>392</v>
      </c>
      <c r="C971" s="2">
        <v>45792</v>
      </c>
      <c r="D971" t="s">
        <v>64</v>
      </c>
      <c r="E971" t="s">
        <v>93</v>
      </c>
      <c r="F971" t="s">
        <v>39</v>
      </c>
      <c r="G971" t="s">
        <v>44</v>
      </c>
      <c r="H971">
        <v>1</v>
      </c>
      <c r="I971">
        <v>800</v>
      </c>
      <c r="J971" t="s">
        <v>35</v>
      </c>
      <c r="K971" t="s">
        <v>19</v>
      </c>
      <c r="L971" s="5">
        <f t="shared" si="15"/>
        <v>800</v>
      </c>
    </row>
    <row r="972" spans="1:12" x14ac:dyDescent="0.3">
      <c r="A972" t="s">
        <v>1427</v>
      </c>
      <c r="B972" t="s">
        <v>1247</v>
      </c>
      <c r="C972" s="2">
        <v>45707</v>
      </c>
      <c r="D972" t="s">
        <v>64</v>
      </c>
      <c r="E972" t="s">
        <v>99</v>
      </c>
      <c r="F972" t="s">
        <v>39</v>
      </c>
      <c r="G972" t="s">
        <v>40</v>
      </c>
      <c r="H972">
        <v>1</v>
      </c>
      <c r="I972">
        <v>4700</v>
      </c>
      <c r="J972" t="s">
        <v>18</v>
      </c>
      <c r="K972" t="s">
        <v>19</v>
      </c>
      <c r="L972" s="5">
        <f t="shared" si="15"/>
        <v>4700</v>
      </c>
    </row>
    <row r="973" spans="1:12" x14ac:dyDescent="0.3">
      <c r="A973" t="s">
        <v>1428</v>
      </c>
      <c r="B973" t="s">
        <v>1022</v>
      </c>
      <c r="C973" s="2">
        <v>45958</v>
      </c>
      <c r="D973" t="s">
        <v>33</v>
      </c>
      <c r="E973" t="s">
        <v>34</v>
      </c>
      <c r="F973" t="s">
        <v>59</v>
      </c>
      <c r="G973" t="s">
        <v>163</v>
      </c>
      <c r="H973">
        <v>2</v>
      </c>
      <c r="I973">
        <v>4250</v>
      </c>
      <c r="J973" t="s">
        <v>35</v>
      </c>
      <c r="K973" t="s">
        <v>19</v>
      </c>
      <c r="L973" s="5">
        <f t="shared" si="15"/>
        <v>8500</v>
      </c>
    </row>
    <row r="974" spans="1:12" x14ac:dyDescent="0.3">
      <c r="A974" t="s">
        <v>1429</v>
      </c>
      <c r="B974" t="s">
        <v>1430</v>
      </c>
      <c r="C974" s="2">
        <v>45865</v>
      </c>
      <c r="D974" t="s">
        <v>33</v>
      </c>
      <c r="E974" t="s">
        <v>38</v>
      </c>
      <c r="F974" t="s">
        <v>59</v>
      </c>
      <c r="G974" t="s">
        <v>103</v>
      </c>
      <c r="H974">
        <v>1</v>
      </c>
      <c r="I974">
        <v>1250</v>
      </c>
      <c r="J974" t="s">
        <v>18</v>
      </c>
      <c r="K974" t="s">
        <v>19</v>
      </c>
      <c r="L974" s="5">
        <f t="shared" si="15"/>
        <v>1250</v>
      </c>
    </row>
    <row r="975" spans="1:12" x14ac:dyDescent="0.3">
      <c r="A975" t="s">
        <v>1431</v>
      </c>
      <c r="B975" t="s">
        <v>1432</v>
      </c>
      <c r="C975" s="2">
        <v>45968</v>
      </c>
      <c r="D975" t="s">
        <v>64</v>
      </c>
      <c r="E975" t="s">
        <v>93</v>
      </c>
      <c r="F975" t="s">
        <v>16</v>
      </c>
      <c r="G975" t="s">
        <v>81</v>
      </c>
      <c r="H975">
        <v>1</v>
      </c>
      <c r="I975">
        <v>2600</v>
      </c>
      <c r="J975" t="s">
        <v>35</v>
      </c>
      <c r="K975" t="s">
        <v>19</v>
      </c>
      <c r="L975" s="5">
        <f t="shared" si="15"/>
        <v>2600</v>
      </c>
    </row>
    <row r="976" spans="1:12" x14ac:dyDescent="0.3">
      <c r="A976" t="s">
        <v>1433</v>
      </c>
      <c r="B976" t="s">
        <v>465</v>
      </c>
      <c r="C976" s="2">
        <v>45751</v>
      </c>
      <c r="D976" t="s">
        <v>46</v>
      </c>
      <c r="E976" t="s">
        <v>72</v>
      </c>
      <c r="F976" t="s">
        <v>23</v>
      </c>
      <c r="G976" t="s">
        <v>193</v>
      </c>
      <c r="H976">
        <v>1</v>
      </c>
      <c r="I976">
        <v>7500</v>
      </c>
      <c r="J976" t="s">
        <v>18</v>
      </c>
      <c r="K976" t="s">
        <v>19</v>
      </c>
      <c r="L976" s="5">
        <f t="shared" si="15"/>
        <v>7500</v>
      </c>
    </row>
    <row r="977" spans="1:12" x14ac:dyDescent="0.3">
      <c r="A977" t="s">
        <v>1434</v>
      </c>
      <c r="B977" t="s">
        <v>199</v>
      </c>
      <c r="C977" s="2">
        <v>45902</v>
      </c>
      <c r="D977" t="s">
        <v>14</v>
      </c>
      <c r="E977" t="s">
        <v>15</v>
      </c>
      <c r="F977" t="s">
        <v>23</v>
      </c>
      <c r="G977" t="s">
        <v>137</v>
      </c>
      <c r="H977">
        <v>4</v>
      </c>
      <c r="I977">
        <v>36600</v>
      </c>
      <c r="J977" t="s">
        <v>18</v>
      </c>
      <c r="K977" t="s">
        <v>19</v>
      </c>
      <c r="L977" s="5">
        <f t="shared" si="15"/>
        <v>146400</v>
      </c>
    </row>
    <row r="978" spans="1:12" x14ac:dyDescent="0.3">
      <c r="A978" t="s">
        <v>1435</v>
      </c>
      <c r="B978" t="s">
        <v>483</v>
      </c>
      <c r="C978" s="2">
        <v>45961</v>
      </c>
      <c r="D978" t="s">
        <v>33</v>
      </c>
      <c r="E978" t="s">
        <v>34</v>
      </c>
      <c r="F978" t="s">
        <v>16</v>
      </c>
      <c r="G978" t="s">
        <v>48</v>
      </c>
      <c r="H978">
        <v>2</v>
      </c>
      <c r="I978">
        <v>8500</v>
      </c>
      <c r="J978" t="s">
        <v>41</v>
      </c>
      <c r="K978" t="s">
        <v>127</v>
      </c>
      <c r="L978" s="5">
        <f t="shared" si="15"/>
        <v>17000</v>
      </c>
    </row>
    <row r="979" spans="1:12" x14ac:dyDescent="0.3">
      <c r="A979" t="s">
        <v>1436</v>
      </c>
      <c r="B979" t="s">
        <v>71</v>
      </c>
      <c r="C979" s="2">
        <v>45765</v>
      </c>
      <c r="D979" t="s">
        <v>14</v>
      </c>
      <c r="E979" t="s">
        <v>22</v>
      </c>
      <c r="F979" t="s">
        <v>29</v>
      </c>
      <c r="G979" t="s">
        <v>96</v>
      </c>
      <c r="H979">
        <v>2</v>
      </c>
      <c r="I979">
        <v>7750</v>
      </c>
      <c r="J979" t="s">
        <v>61</v>
      </c>
      <c r="K979" t="s">
        <v>19</v>
      </c>
      <c r="L979" s="5">
        <f t="shared" si="15"/>
        <v>15500</v>
      </c>
    </row>
    <row r="980" spans="1:12" x14ac:dyDescent="0.3">
      <c r="A980" t="s">
        <v>1437</v>
      </c>
      <c r="B980" t="s">
        <v>791</v>
      </c>
      <c r="C980" s="2">
        <v>45814</v>
      </c>
      <c r="D980" t="s">
        <v>46</v>
      </c>
      <c r="E980" t="s">
        <v>47</v>
      </c>
      <c r="F980" t="s">
        <v>16</v>
      </c>
      <c r="G980" t="s">
        <v>81</v>
      </c>
      <c r="H980">
        <v>1</v>
      </c>
      <c r="I980">
        <v>5050</v>
      </c>
      <c r="J980" t="s">
        <v>18</v>
      </c>
      <c r="K980" t="s">
        <v>19</v>
      </c>
      <c r="L980" s="5">
        <f t="shared" si="15"/>
        <v>5050</v>
      </c>
    </row>
    <row r="981" spans="1:12" x14ac:dyDescent="0.3">
      <c r="A981" t="s">
        <v>1438</v>
      </c>
      <c r="B981" t="s">
        <v>838</v>
      </c>
      <c r="C981" s="2">
        <v>45823</v>
      </c>
      <c r="D981" t="s">
        <v>46</v>
      </c>
      <c r="E981" t="s">
        <v>55</v>
      </c>
      <c r="F981" t="s">
        <v>23</v>
      </c>
      <c r="G981" t="s">
        <v>56</v>
      </c>
      <c r="H981">
        <v>1</v>
      </c>
      <c r="I981">
        <v>9250</v>
      </c>
      <c r="J981" t="s">
        <v>41</v>
      </c>
      <c r="K981" t="s">
        <v>19</v>
      </c>
      <c r="L981" s="5">
        <f t="shared" si="15"/>
        <v>9250</v>
      </c>
    </row>
    <row r="982" spans="1:12" x14ac:dyDescent="0.3">
      <c r="A982" t="s">
        <v>1439</v>
      </c>
      <c r="B982" t="s">
        <v>114</v>
      </c>
      <c r="C982" s="2">
        <v>45899</v>
      </c>
      <c r="D982" t="s">
        <v>64</v>
      </c>
      <c r="E982" t="s">
        <v>86</v>
      </c>
      <c r="F982" t="s">
        <v>39</v>
      </c>
      <c r="G982" t="s">
        <v>146</v>
      </c>
      <c r="H982">
        <v>1</v>
      </c>
      <c r="I982">
        <v>1100</v>
      </c>
      <c r="J982" t="s">
        <v>35</v>
      </c>
      <c r="K982" t="s">
        <v>19</v>
      </c>
      <c r="L982" s="5">
        <f t="shared" si="15"/>
        <v>1100</v>
      </c>
    </row>
    <row r="983" spans="1:12" x14ac:dyDescent="0.3">
      <c r="A983" t="s">
        <v>1440</v>
      </c>
      <c r="B983" t="s">
        <v>632</v>
      </c>
      <c r="C983" s="2">
        <v>46000</v>
      </c>
      <c r="D983" t="s">
        <v>14</v>
      </c>
      <c r="E983" t="s">
        <v>15</v>
      </c>
      <c r="F983" t="s">
        <v>16</v>
      </c>
      <c r="G983" t="s">
        <v>48</v>
      </c>
      <c r="H983">
        <v>1</v>
      </c>
      <c r="I983">
        <v>5300</v>
      </c>
      <c r="J983" t="s">
        <v>41</v>
      </c>
      <c r="K983" t="s">
        <v>19</v>
      </c>
      <c r="L983" s="5">
        <f t="shared" si="15"/>
        <v>5300</v>
      </c>
    </row>
    <row r="984" spans="1:12" x14ac:dyDescent="0.3">
      <c r="A984" t="s">
        <v>1441</v>
      </c>
      <c r="B984" t="s">
        <v>691</v>
      </c>
      <c r="C984" s="2">
        <v>45937</v>
      </c>
      <c r="D984" t="s">
        <v>64</v>
      </c>
      <c r="E984" t="s">
        <v>65</v>
      </c>
      <c r="F984" t="s">
        <v>39</v>
      </c>
      <c r="G984" t="s">
        <v>44</v>
      </c>
      <c r="H984">
        <v>2</v>
      </c>
      <c r="I984">
        <v>3650</v>
      </c>
      <c r="J984" t="s">
        <v>18</v>
      </c>
      <c r="K984" t="s">
        <v>19</v>
      </c>
      <c r="L984" s="5">
        <f t="shared" si="15"/>
        <v>7300</v>
      </c>
    </row>
    <row r="985" spans="1:12" x14ac:dyDescent="0.3">
      <c r="A985" t="s">
        <v>1442</v>
      </c>
      <c r="B985" t="s">
        <v>43</v>
      </c>
      <c r="C985" s="2">
        <v>45982</v>
      </c>
      <c r="D985" t="s">
        <v>14</v>
      </c>
      <c r="E985" t="s">
        <v>15</v>
      </c>
      <c r="F985" t="s">
        <v>39</v>
      </c>
      <c r="G985" t="s">
        <v>44</v>
      </c>
      <c r="H985">
        <v>2</v>
      </c>
      <c r="I985">
        <v>7200</v>
      </c>
      <c r="J985" t="s">
        <v>41</v>
      </c>
      <c r="K985" t="s">
        <v>127</v>
      </c>
      <c r="L985" s="5">
        <f t="shared" si="15"/>
        <v>14400</v>
      </c>
    </row>
    <row r="986" spans="1:12" x14ac:dyDescent="0.3">
      <c r="A986" t="s">
        <v>1443</v>
      </c>
      <c r="B986" t="s">
        <v>160</v>
      </c>
      <c r="C986" s="2">
        <v>45675</v>
      </c>
      <c r="D986" t="s">
        <v>46</v>
      </c>
      <c r="E986" t="s">
        <v>75</v>
      </c>
      <c r="F986" t="s">
        <v>16</v>
      </c>
      <c r="G986" t="s">
        <v>48</v>
      </c>
      <c r="H986">
        <v>1</v>
      </c>
      <c r="I986">
        <v>4950</v>
      </c>
      <c r="J986" t="s">
        <v>18</v>
      </c>
      <c r="K986" t="s">
        <v>19</v>
      </c>
      <c r="L986" s="5">
        <f t="shared" si="15"/>
        <v>4950</v>
      </c>
    </row>
    <row r="987" spans="1:12" x14ac:dyDescent="0.3">
      <c r="A987" t="s">
        <v>1444</v>
      </c>
      <c r="B987" t="s">
        <v>98</v>
      </c>
      <c r="C987" s="2">
        <v>45665</v>
      </c>
      <c r="D987" t="s">
        <v>33</v>
      </c>
      <c r="E987" t="s">
        <v>68</v>
      </c>
      <c r="F987" t="s">
        <v>29</v>
      </c>
      <c r="G987" t="s">
        <v>96</v>
      </c>
      <c r="H987">
        <v>3</v>
      </c>
      <c r="I987">
        <v>8000</v>
      </c>
      <c r="J987" t="s">
        <v>35</v>
      </c>
      <c r="K987" t="s">
        <v>25</v>
      </c>
      <c r="L987" s="5">
        <f t="shared" si="15"/>
        <v>24000</v>
      </c>
    </row>
    <row r="988" spans="1:12" x14ac:dyDescent="0.3">
      <c r="A988" t="s">
        <v>1445</v>
      </c>
      <c r="B988" t="s">
        <v>1111</v>
      </c>
      <c r="C988" s="2">
        <v>45825</v>
      </c>
      <c r="D988" t="s">
        <v>14</v>
      </c>
      <c r="E988" t="s">
        <v>51</v>
      </c>
      <c r="F988" t="s">
        <v>29</v>
      </c>
      <c r="G988" t="s">
        <v>100</v>
      </c>
      <c r="H988">
        <v>2</v>
      </c>
      <c r="I988">
        <v>4000</v>
      </c>
      <c r="J988" t="s">
        <v>61</v>
      </c>
      <c r="K988" t="s">
        <v>19</v>
      </c>
      <c r="L988" s="5">
        <f t="shared" si="15"/>
        <v>8000</v>
      </c>
    </row>
    <row r="989" spans="1:12" x14ac:dyDescent="0.3">
      <c r="A989" t="s">
        <v>1446</v>
      </c>
      <c r="B989" t="s">
        <v>460</v>
      </c>
      <c r="C989" s="2">
        <v>45689</v>
      </c>
      <c r="D989" t="s">
        <v>14</v>
      </c>
      <c r="E989" t="s">
        <v>15</v>
      </c>
      <c r="F989" t="s">
        <v>23</v>
      </c>
      <c r="G989" t="s">
        <v>137</v>
      </c>
      <c r="H989">
        <v>1</v>
      </c>
      <c r="I989">
        <v>9100</v>
      </c>
      <c r="J989" t="s">
        <v>41</v>
      </c>
      <c r="K989" t="s">
        <v>19</v>
      </c>
      <c r="L989" s="5">
        <f t="shared" si="15"/>
        <v>9100</v>
      </c>
    </row>
    <row r="990" spans="1:12" x14ac:dyDescent="0.3">
      <c r="A990" t="s">
        <v>1447</v>
      </c>
      <c r="B990" t="s">
        <v>966</v>
      </c>
      <c r="C990" s="2">
        <v>45762</v>
      </c>
      <c r="D990" t="s">
        <v>33</v>
      </c>
      <c r="E990" t="s">
        <v>34</v>
      </c>
      <c r="F990" t="s">
        <v>39</v>
      </c>
      <c r="G990" t="s">
        <v>52</v>
      </c>
      <c r="H990">
        <v>2</v>
      </c>
      <c r="I990">
        <v>7400</v>
      </c>
      <c r="J990" t="s">
        <v>18</v>
      </c>
      <c r="K990" t="s">
        <v>19</v>
      </c>
      <c r="L990" s="5">
        <f t="shared" si="15"/>
        <v>14800</v>
      </c>
    </row>
    <row r="991" spans="1:12" x14ac:dyDescent="0.3">
      <c r="A991" t="s">
        <v>1448</v>
      </c>
      <c r="B991" t="s">
        <v>1449</v>
      </c>
      <c r="C991" s="2">
        <v>45792</v>
      </c>
      <c r="D991" t="s">
        <v>14</v>
      </c>
      <c r="E991" t="s">
        <v>22</v>
      </c>
      <c r="F991" t="s">
        <v>29</v>
      </c>
      <c r="G991" t="s">
        <v>90</v>
      </c>
      <c r="H991">
        <v>5</v>
      </c>
      <c r="I991">
        <v>2400</v>
      </c>
      <c r="J991" t="s">
        <v>18</v>
      </c>
      <c r="K991" t="s">
        <v>19</v>
      </c>
      <c r="L991" s="5">
        <f t="shared" si="15"/>
        <v>12000</v>
      </c>
    </row>
    <row r="992" spans="1:12" x14ac:dyDescent="0.3">
      <c r="A992" t="s">
        <v>1450</v>
      </c>
      <c r="B992" t="s">
        <v>13</v>
      </c>
      <c r="C992" s="2">
        <v>45754</v>
      </c>
      <c r="D992" t="s">
        <v>64</v>
      </c>
      <c r="E992" t="s">
        <v>93</v>
      </c>
      <c r="F992" t="s">
        <v>39</v>
      </c>
      <c r="G992" t="s">
        <v>146</v>
      </c>
      <c r="H992">
        <v>4</v>
      </c>
      <c r="I992">
        <v>9200</v>
      </c>
      <c r="J992" t="s">
        <v>35</v>
      </c>
      <c r="K992" t="s">
        <v>19</v>
      </c>
      <c r="L992" s="5">
        <f t="shared" si="15"/>
        <v>36800</v>
      </c>
    </row>
    <row r="993" spans="1:12" x14ac:dyDescent="0.3">
      <c r="A993" t="s">
        <v>1451</v>
      </c>
      <c r="B993" t="s">
        <v>239</v>
      </c>
      <c r="C993" s="2">
        <v>45888</v>
      </c>
      <c r="D993" t="s">
        <v>46</v>
      </c>
      <c r="E993" t="s">
        <v>72</v>
      </c>
      <c r="F993" t="s">
        <v>23</v>
      </c>
      <c r="G993" t="s">
        <v>137</v>
      </c>
      <c r="H993">
        <v>2</v>
      </c>
      <c r="I993">
        <v>49500</v>
      </c>
      <c r="J993" t="s">
        <v>35</v>
      </c>
      <c r="K993" t="s">
        <v>25</v>
      </c>
      <c r="L993" s="5">
        <f t="shared" si="15"/>
        <v>99000</v>
      </c>
    </row>
    <row r="994" spans="1:12" x14ac:dyDescent="0.3">
      <c r="A994" t="s">
        <v>1452</v>
      </c>
      <c r="B994" t="s">
        <v>339</v>
      </c>
      <c r="C994" s="2">
        <v>45750</v>
      </c>
      <c r="D994" t="s">
        <v>14</v>
      </c>
      <c r="E994" t="s">
        <v>51</v>
      </c>
      <c r="F994" t="s">
        <v>16</v>
      </c>
      <c r="G994" t="s">
        <v>81</v>
      </c>
      <c r="H994">
        <v>1</v>
      </c>
      <c r="I994">
        <v>450</v>
      </c>
      <c r="J994" t="s">
        <v>18</v>
      </c>
      <c r="K994" t="s">
        <v>69</v>
      </c>
      <c r="L994" s="5">
        <f t="shared" si="15"/>
        <v>450</v>
      </c>
    </row>
    <row r="995" spans="1:12" x14ac:dyDescent="0.3">
      <c r="A995" t="s">
        <v>1453</v>
      </c>
      <c r="B995" t="s">
        <v>304</v>
      </c>
      <c r="C995" s="2">
        <v>45821</v>
      </c>
      <c r="D995" t="s">
        <v>64</v>
      </c>
      <c r="E995" t="s">
        <v>93</v>
      </c>
      <c r="F995" t="s">
        <v>29</v>
      </c>
      <c r="G995" t="s">
        <v>100</v>
      </c>
      <c r="H995">
        <v>1</v>
      </c>
      <c r="I995">
        <v>7650</v>
      </c>
      <c r="J995" t="s">
        <v>18</v>
      </c>
      <c r="K995" t="s">
        <v>69</v>
      </c>
      <c r="L995" s="5">
        <f t="shared" si="15"/>
        <v>7650</v>
      </c>
    </row>
    <row r="996" spans="1:12" x14ac:dyDescent="0.3">
      <c r="A996" t="s">
        <v>1454</v>
      </c>
      <c r="B996" t="s">
        <v>460</v>
      </c>
      <c r="C996" s="2">
        <v>45902</v>
      </c>
      <c r="D996" t="s">
        <v>14</v>
      </c>
      <c r="E996" t="s">
        <v>15</v>
      </c>
      <c r="F996" t="s">
        <v>59</v>
      </c>
      <c r="G996" t="s">
        <v>228</v>
      </c>
      <c r="H996">
        <v>1</v>
      </c>
      <c r="I996">
        <v>2650</v>
      </c>
      <c r="J996" t="s">
        <v>18</v>
      </c>
      <c r="K996" t="s">
        <v>127</v>
      </c>
      <c r="L996" s="5">
        <f t="shared" si="15"/>
        <v>2650</v>
      </c>
    </row>
    <row r="997" spans="1:12" x14ac:dyDescent="0.3">
      <c r="A997" t="s">
        <v>1455</v>
      </c>
      <c r="B997" t="s">
        <v>1229</v>
      </c>
      <c r="C997" s="2">
        <v>45992</v>
      </c>
      <c r="D997" t="s">
        <v>14</v>
      </c>
      <c r="E997" t="s">
        <v>22</v>
      </c>
      <c r="F997" t="s">
        <v>39</v>
      </c>
      <c r="G997" t="s">
        <v>87</v>
      </c>
      <c r="H997">
        <v>2</v>
      </c>
      <c r="I997">
        <v>9950</v>
      </c>
      <c r="J997" t="s">
        <v>18</v>
      </c>
      <c r="K997" t="s">
        <v>19</v>
      </c>
      <c r="L997" s="5">
        <f t="shared" si="15"/>
        <v>19900</v>
      </c>
    </row>
    <row r="998" spans="1:12" x14ac:dyDescent="0.3">
      <c r="A998" t="s">
        <v>1456</v>
      </c>
      <c r="B998" t="s">
        <v>124</v>
      </c>
      <c r="C998" s="2">
        <v>45994</v>
      </c>
      <c r="D998" t="s">
        <v>64</v>
      </c>
      <c r="E998" t="s">
        <v>93</v>
      </c>
      <c r="F998" t="s">
        <v>29</v>
      </c>
      <c r="G998" t="s">
        <v>90</v>
      </c>
      <c r="H998">
        <v>1</v>
      </c>
      <c r="I998">
        <v>5950</v>
      </c>
      <c r="J998" t="s">
        <v>41</v>
      </c>
      <c r="K998" t="s">
        <v>69</v>
      </c>
      <c r="L998" s="5">
        <f t="shared" si="15"/>
        <v>5950</v>
      </c>
    </row>
    <row r="999" spans="1:12" x14ac:dyDescent="0.3">
      <c r="A999" t="s">
        <v>1457</v>
      </c>
      <c r="B999" t="s">
        <v>833</v>
      </c>
      <c r="C999" s="2">
        <v>45756</v>
      </c>
      <c r="D999" t="s">
        <v>33</v>
      </c>
      <c r="E999" t="s">
        <v>68</v>
      </c>
      <c r="F999" t="s">
        <v>23</v>
      </c>
      <c r="G999" t="s">
        <v>193</v>
      </c>
      <c r="H999">
        <v>1</v>
      </c>
      <c r="I999">
        <v>44950</v>
      </c>
      <c r="J999" t="s">
        <v>18</v>
      </c>
      <c r="K999" t="s">
        <v>25</v>
      </c>
      <c r="L999" s="5">
        <f t="shared" si="15"/>
        <v>44950</v>
      </c>
    </row>
    <row r="1000" spans="1:12" x14ac:dyDescent="0.3">
      <c r="A1000" t="s">
        <v>1458</v>
      </c>
      <c r="B1000" t="s">
        <v>343</v>
      </c>
      <c r="C1000" s="2">
        <v>45661</v>
      </c>
      <c r="D1000" t="s">
        <v>14</v>
      </c>
      <c r="E1000" t="s">
        <v>15</v>
      </c>
      <c r="F1000" t="s">
        <v>16</v>
      </c>
      <c r="G1000" t="s">
        <v>17</v>
      </c>
      <c r="H1000">
        <v>1</v>
      </c>
      <c r="I1000">
        <v>3950</v>
      </c>
      <c r="J1000" t="s">
        <v>41</v>
      </c>
      <c r="K1000" t="s">
        <v>19</v>
      </c>
      <c r="L1000" s="5">
        <f t="shared" si="15"/>
        <v>3950</v>
      </c>
    </row>
    <row r="1001" spans="1:12" x14ac:dyDescent="0.3">
      <c r="A1001" t="s">
        <v>1459</v>
      </c>
      <c r="B1001" t="s">
        <v>217</v>
      </c>
      <c r="C1001" s="2">
        <v>45749</v>
      </c>
      <c r="D1001" t="s">
        <v>64</v>
      </c>
      <c r="E1001" t="s">
        <v>93</v>
      </c>
      <c r="F1001" t="s">
        <v>16</v>
      </c>
      <c r="G1001" t="s">
        <v>17</v>
      </c>
      <c r="H1001">
        <v>1</v>
      </c>
      <c r="I1001">
        <v>1100</v>
      </c>
      <c r="J1001" t="s">
        <v>41</v>
      </c>
      <c r="K1001" t="s">
        <v>19</v>
      </c>
      <c r="L1001" s="5">
        <f t="shared" si="15"/>
        <v>1100</v>
      </c>
    </row>
    <row r="1002" spans="1:12" x14ac:dyDescent="0.3">
      <c r="A1002" t="s">
        <v>1460</v>
      </c>
      <c r="B1002" t="s">
        <v>162</v>
      </c>
      <c r="C1002" s="2">
        <v>45889</v>
      </c>
      <c r="D1002" t="s">
        <v>46</v>
      </c>
      <c r="E1002" t="s">
        <v>47</v>
      </c>
      <c r="F1002" t="s">
        <v>23</v>
      </c>
      <c r="G1002" t="s">
        <v>140</v>
      </c>
      <c r="H1002">
        <v>2</v>
      </c>
      <c r="I1002">
        <v>57150</v>
      </c>
      <c r="J1002" t="s">
        <v>35</v>
      </c>
      <c r="K1002" t="s">
        <v>127</v>
      </c>
      <c r="L1002" s="5">
        <f t="shared" si="15"/>
        <v>114300</v>
      </c>
    </row>
    <row r="1003" spans="1:12" x14ac:dyDescent="0.3">
      <c r="A1003" t="s">
        <v>1461</v>
      </c>
      <c r="B1003" t="s">
        <v>227</v>
      </c>
      <c r="C1003" s="2">
        <v>45706</v>
      </c>
      <c r="D1003" t="s">
        <v>64</v>
      </c>
      <c r="E1003" t="s">
        <v>93</v>
      </c>
      <c r="F1003" t="s">
        <v>16</v>
      </c>
      <c r="G1003" t="s">
        <v>134</v>
      </c>
      <c r="H1003">
        <v>1</v>
      </c>
      <c r="I1003">
        <v>3650</v>
      </c>
      <c r="J1003" t="s">
        <v>61</v>
      </c>
      <c r="K1003" t="s">
        <v>19</v>
      </c>
      <c r="L1003" s="5">
        <f t="shared" si="15"/>
        <v>3650</v>
      </c>
    </row>
    <row r="1004" spans="1:12" x14ac:dyDescent="0.3">
      <c r="A1004" t="s">
        <v>1462</v>
      </c>
      <c r="B1004" t="s">
        <v>1463</v>
      </c>
      <c r="C1004" s="2">
        <v>45976</v>
      </c>
      <c r="D1004" t="s">
        <v>64</v>
      </c>
      <c r="E1004" t="s">
        <v>93</v>
      </c>
      <c r="F1004" t="s">
        <v>16</v>
      </c>
      <c r="G1004" t="s">
        <v>48</v>
      </c>
      <c r="H1004">
        <v>1</v>
      </c>
      <c r="I1004">
        <v>3350</v>
      </c>
      <c r="J1004" t="s">
        <v>18</v>
      </c>
      <c r="K1004" t="s">
        <v>19</v>
      </c>
      <c r="L1004" s="5">
        <f t="shared" si="15"/>
        <v>3350</v>
      </c>
    </row>
    <row r="1005" spans="1:12" x14ac:dyDescent="0.3">
      <c r="A1005" t="s">
        <v>1464</v>
      </c>
      <c r="B1005" t="s">
        <v>1159</v>
      </c>
      <c r="C1005" s="2">
        <v>45877</v>
      </c>
      <c r="D1005" t="s">
        <v>46</v>
      </c>
      <c r="E1005" t="s">
        <v>72</v>
      </c>
      <c r="F1005" t="s">
        <v>39</v>
      </c>
      <c r="G1005" t="s">
        <v>146</v>
      </c>
      <c r="H1005">
        <v>1</v>
      </c>
      <c r="I1005">
        <v>3300</v>
      </c>
      <c r="J1005" t="s">
        <v>41</v>
      </c>
      <c r="K1005" t="s">
        <v>19</v>
      </c>
      <c r="L1005" s="5">
        <f t="shared" si="15"/>
        <v>3300</v>
      </c>
    </row>
    <row r="1006" spans="1:12" x14ac:dyDescent="0.3">
      <c r="A1006" t="s">
        <v>1465</v>
      </c>
      <c r="B1006" t="s">
        <v>470</v>
      </c>
      <c r="C1006" s="2">
        <v>45869</v>
      </c>
      <c r="D1006" t="s">
        <v>14</v>
      </c>
      <c r="E1006" t="s">
        <v>22</v>
      </c>
      <c r="F1006" t="s">
        <v>16</v>
      </c>
      <c r="G1006" t="s">
        <v>134</v>
      </c>
      <c r="H1006">
        <v>1</v>
      </c>
      <c r="I1006">
        <v>7800</v>
      </c>
      <c r="J1006" t="s">
        <v>35</v>
      </c>
      <c r="K1006" t="s">
        <v>19</v>
      </c>
      <c r="L1006" s="5">
        <f t="shared" si="15"/>
        <v>7800</v>
      </c>
    </row>
    <row r="1007" spans="1:12" x14ac:dyDescent="0.3">
      <c r="A1007" t="s">
        <v>1466</v>
      </c>
      <c r="B1007" t="s">
        <v>648</v>
      </c>
      <c r="C1007" s="2">
        <v>45762</v>
      </c>
      <c r="D1007" t="s">
        <v>64</v>
      </c>
      <c r="E1007" t="s">
        <v>99</v>
      </c>
      <c r="F1007" t="s">
        <v>23</v>
      </c>
      <c r="G1007" t="s">
        <v>193</v>
      </c>
      <c r="H1007">
        <v>1</v>
      </c>
      <c r="I1007">
        <v>7500</v>
      </c>
      <c r="J1007" t="s">
        <v>61</v>
      </c>
      <c r="K1007" t="s">
        <v>19</v>
      </c>
      <c r="L1007" s="5">
        <f t="shared" si="15"/>
        <v>7500</v>
      </c>
    </row>
    <row r="1008" spans="1:12" x14ac:dyDescent="0.3">
      <c r="A1008" t="s">
        <v>1467</v>
      </c>
      <c r="B1008" t="s">
        <v>628</v>
      </c>
      <c r="C1008" s="2">
        <v>45822</v>
      </c>
      <c r="D1008" t="s">
        <v>46</v>
      </c>
      <c r="E1008" t="s">
        <v>72</v>
      </c>
      <c r="F1008" t="s">
        <v>59</v>
      </c>
      <c r="G1008" t="s">
        <v>60</v>
      </c>
      <c r="H1008">
        <v>2</v>
      </c>
      <c r="I1008">
        <v>3750</v>
      </c>
      <c r="J1008" t="s">
        <v>35</v>
      </c>
      <c r="K1008" t="s">
        <v>19</v>
      </c>
      <c r="L1008" s="5">
        <f t="shared" si="15"/>
        <v>7500</v>
      </c>
    </row>
    <row r="1009" spans="1:12" x14ac:dyDescent="0.3">
      <c r="A1009" t="s">
        <v>1468</v>
      </c>
      <c r="B1009" t="s">
        <v>270</v>
      </c>
      <c r="C1009" s="2">
        <v>45874</v>
      </c>
      <c r="D1009" t="s">
        <v>33</v>
      </c>
      <c r="E1009" t="s">
        <v>68</v>
      </c>
      <c r="F1009" t="s">
        <v>23</v>
      </c>
      <c r="G1009" t="s">
        <v>56</v>
      </c>
      <c r="H1009">
        <v>2</v>
      </c>
      <c r="I1009">
        <v>800</v>
      </c>
      <c r="J1009" t="s">
        <v>35</v>
      </c>
      <c r="K1009" t="s">
        <v>127</v>
      </c>
      <c r="L1009" s="5">
        <f t="shared" si="15"/>
        <v>1600</v>
      </c>
    </row>
    <row r="1010" spans="1:12" x14ac:dyDescent="0.3">
      <c r="A1010" t="s">
        <v>1469</v>
      </c>
      <c r="B1010" t="s">
        <v>410</v>
      </c>
      <c r="C1010" s="2">
        <v>45971</v>
      </c>
      <c r="D1010" t="s">
        <v>14</v>
      </c>
      <c r="E1010" t="s">
        <v>51</v>
      </c>
      <c r="F1010" t="s">
        <v>16</v>
      </c>
      <c r="G1010" t="s">
        <v>81</v>
      </c>
      <c r="H1010">
        <v>1</v>
      </c>
      <c r="I1010">
        <v>1600</v>
      </c>
      <c r="J1010" t="s">
        <v>18</v>
      </c>
      <c r="K1010" t="s">
        <v>19</v>
      </c>
      <c r="L1010" s="5">
        <f t="shared" si="15"/>
        <v>1600</v>
      </c>
    </row>
    <row r="1011" spans="1:12" x14ac:dyDescent="0.3">
      <c r="A1011" t="s">
        <v>1470</v>
      </c>
      <c r="B1011" t="s">
        <v>175</v>
      </c>
      <c r="C1011" s="2">
        <v>45916</v>
      </c>
      <c r="D1011" t="s">
        <v>64</v>
      </c>
      <c r="E1011" t="s">
        <v>99</v>
      </c>
      <c r="F1011" t="s">
        <v>39</v>
      </c>
      <c r="G1011" t="s">
        <v>44</v>
      </c>
      <c r="H1011">
        <v>1</v>
      </c>
      <c r="I1011">
        <v>650</v>
      </c>
      <c r="J1011" t="s">
        <v>115</v>
      </c>
      <c r="K1011" t="s">
        <v>19</v>
      </c>
      <c r="L1011" s="5">
        <f t="shared" si="15"/>
        <v>650</v>
      </c>
    </row>
    <row r="1012" spans="1:12" x14ac:dyDescent="0.3">
      <c r="A1012" t="s">
        <v>1471</v>
      </c>
      <c r="B1012" t="s">
        <v>687</v>
      </c>
      <c r="C1012" s="2">
        <v>45891</v>
      </c>
      <c r="D1012" t="s">
        <v>46</v>
      </c>
      <c r="E1012" t="s">
        <v>55</v>
      </c>
      <c r="F1012" t="s">
        <v>39</v>
      </c>
      <c r="G1012" t="s">
        <v>44</v>
      </c>
      <c r="H1012">
        <v>3</v>
      </c>
      <c r="I1012">
        <v>3150</v>
      </c>
      <c r="J1012" t="s">
        <v>18</v>
      </c>
      <c r="K1012" t="s">
        <v>19</v>
      </c>
      <c r="L1012" s="5">
        <f t="shared" si="15"/>
        <v>9450</v>
      </c>
    </row>
    <row r="1013" spans="1:12" x14ac:dyDescent="0.3">
      <c r="A1013" t="s">
        <v>1472</v>
      </c>
      <c r="B1013" t="s">
        <v>493</v>
      </c>
      <c r="C1013" s="2">
        <v>45768</v>
      </c>
      <c r="D1013" t="s">
        <v>33</v>
      </c>
      <c r="E1013" t="s">
        <v>80</v>
      </c>
      <c r="F1013" t="s">
        <v>23</v>
      </c>
      <c r="G1013" t="s">
        <v>56</v>
      </c>
      <c r="H1013">
        <v>3</v>
      </c>
      <c r="I1013">
        <v>19300</v>
      </c>
      <c r="J1013" t="s">
        <v>61</v>
      </c>
      <c r="K1013" t="s">
        <v>19</v>
      </c>
      <c r="L1013" s="5">
        <f t="shared" si="15"/>
        <v>57900</v>
      </c>
    </row>
    <row r="1014" spans="1:12" x14ac:dyDescent="0.3">
      <c r="A1014" t="s">
        <v>1473</v>
      </c>
      <c r="B1014" t="s">
        <v>1069</v>
      </c>
      <c r="C1014" s="2">
        <v>45658</v>
      </c>
      <c r="D1014" t="s">
        <v>33</v>
      </c>
      <c r="E1014" t="s">
        <v>34</v>
      </c>
      <c r="F1014" t="s">
        <v>16</v>
      </c>
      <c r="G1014" t="s">
        <v>17</v>
      </c>
      <c r="H1014">
        <v>2</v>
      </c>
      <c r="I1014">
        <v>2550</v>
      </c>
      <c r="J1014" t="s">
        <v>41</v>
      </c>
      <c r="K1014" t="s">
        <v>19</v>
      </c>
      <c r="L1014" s="5">
        <f t="shared" si="15"/>
        <v>5100</v>
      </c>
    </row>
    <row r="1015" spans="1:12" x14ac:dyDescent="0.3">
      <c r="A1015" t="s">
        <v>1474</v>
      </c>
      <c r="B1015" t="s">
        <v>1249</v>
      </c>
      <c r="C1015" s="2">
        <v>45789</v>
      </c>
      <c r="D1015" t="s">
        <v>64</v>
      </c>
      <c r="E1015" t="s">
        <v>65</v>
      </c>
      <c r="F1015" t="s">
        <v>59</v>
      </c>
      <c r="G1015" t="s">
        <v>228</v>
      </c>
      <c r="H1015">
        <v>1</v>
      </c>
      <c r="I1015">
        <v>2200</v>
      </c>
      <c r="J1015" t="s">
        <v>41</v>
      </c>
      <c r="K1015" t="s">
        <v>19</v>
      </c>
      <c r="L1015" s="5">
        <f t="shared" si="15"/>
        <v>2200</v>
      </c>
    </row>
    <row r="1016" spans="1:12" x14ac:dyDescent="0.3">
      <c r="A1016" t="s">
        <v>1475</v>
      </c>
      <c r="B1016" t="s">
        <v>221</v>
      </c>
      <c r="C1016" s="2">
        <v>45921</v>
      </c>
      <c r="D1016" t="s">
        <v>14</v>
      </c>
      <c r="E1016" t="s">
        <v>51</v>
      </c>
      <c r="F1016" t="s">
        <v>29</v>
      </c>
      <c r="G1016" t="s">
        <v>90</v>
      </c>
      <c r="H1016">
        <v>5</v>
      </c>
      <c r="I1016">
        <v>4100</v>
      </c>
      <c r="J1016" t="s">
        <v>18</v>
      </c>
      <c r="K1016" t="s">
        <v>69</v>
      </c>
      <c r="L1016" s="5">
        <f t="shared" si="15"/>
        <v>20500</v>
      </c>
    </row>
    <row r="1017" spans="1:12" x14ac:dyDescent="0.3">
      <c r="A1017" t="s">
        <v>1476</v>
      </c>
      <c r="B1017" t="s">
        <v>337</v>
      </c>
      <c r="C1017" s="2">
        <v>45661</v>
      </c>
      <c r="D1017" t="s">
        <v>64</v>
      </c>
      <c r="E1017" t="s">
        <v>93</v>
      </c>
      <c r="F1017" t="s">
        <v>39</v>
      </c>
      <c r="G1017" t="s">
        <v>87</v>
      </c>
      <c r="H1017">
        <v>1</v>
      </c>
      <c r="I1017">
        <v>6700</v>
      </c>
      <c r="J1017" t="s">
        <v>18</v>
      </c>
      <c r="K1017" t="s">
        <v>19</v>
      </c>
      <c r="L1017" s="5">
        <f t="shared" si="15"/>
        <v>6700</v>
      </c>
    </row>
    <row r="1018" spans="1:12" x14ac:dyDescent="0.3">
      <c r="A1018" t="s">
        <v>1477</v>
      </c>
      <c r="B1018" t="s">
        <v>451</v>
      </c>
      <c r="C1018" s="2">
        <v>45677</v>
      </c>
      <c r="D1018" t="s">
        <v>14</v>
      </c>
      <c r="E1018" t="s">
        <v>15</v>
      </c>
      <c r="F1018" t="s">
        <v>29</v>
      </c>
      <c r="G1018" t="s">
        <v>96</v>
      </c>
      <c r="H1018">
        <v>2</v>
      </c>
      <c r="I1018">
        <v>4200</v>
      </c>
      <c r="J1018" t="s">
        <v>18</v>
      </c>
      <c r="K1018" t="s">
        <v>19</v>
      </c>
      <c r="L1018" s="5">
        <f t="shared" si="15"/>
        <v>8400</v>
      </c>
    </row>
    <row r="1019" spans="1:12" x14ac:dyDescent="0.3">
      <c r="A1019" t="s">
        <v>1478</v>
      </c>
      <c r="B1019" t="s">
        <v>527</v>
      </c>
      <c r="C1019" s="2">
        <v>45758</v>
      </c>
      <c r="D1019" t="s">
        <v>14</v>
      </c>
      <c r="E1019" t="s">
        <v>28</v>
      </c>
      <c r="F1019" t="s">
        <v>39</v>
      </c>
      <c r="G1019" t="s">
        <v>87</v>
      </c>
      <c r="H1019">
        <v>2</v>
      </c>
      <c r="I1019">
        <v>4250</v>
      </c>
      <c r="J1019" t="s">
        <v>41</v>
      </c>
      <c r="K1019" t="s">
        <v>19</v>
      </c>
      <c r="L1019" s="5">
        <f t="shared" si="15"/>
        <v>8500</v>
      </c>
    </row>
    <row r="1020" spans="1:12" x14ac:dyDescent="0.3">
      <c r="A1020" t="s">
        <v>1479</v>
      </c>
      <c r="B1020" t="s">
        <v>630</v>
      </c>
      <c r="C1020" s="2">
        <v>45724</v>
      </c>
      <c r="D1020" t="s">
        <v>33</v>
      </c>
      <c r="E1020" t="s">
        <v>34</v>
      </c>
      <c r="F1020" t="s">
        <v>29</v>
      </c>
      <c r="G1020" t="s">
        <v>100</v>
      </c>
      <c r="H1020">
        <v>1</v>
      </c>
      <c r="I1020">
        <v>6400</v>
      </c>
      <c r="J1020" t="s">
        <v>18</v>
      </c>
      <c r="K1020" t="s">
        <v>19</v>
      </c>
      <c r="L1020" s="5">
        <f t="shared" si="15"/>
        <v>6400</v>
      </c>
    </row>
    <row r="1021" spans="1:12" x14ac:dyDescent="0.3">
      <c r="A1021" t="s">
        <v>1480</v>
      </c>
      <c r="B1021" t="s">
        <v>571</v>
      </c>
      <c r="C1021" s="2">
        <v>45765</v>
      </c>
      <c r="D1021" t="s">
        <v>33</v>
      </c>
      <c r="E1021" t="s">
        <v>80</v>
      </c>
      <c r="F1021" t="s">
        <v>23</v>
      </c>
      <c r="G1021" t="s">
        <v>140</v>
      </c>
      <c r="H1021">
        <v>3</v>
      </c>
      <c r="I1021">
        <v>60350</v>
      </c>
      <c r="J1021" t="s">
        <v>18</v>
      </c>
      <c r="K1021" t="s">
        <v>19</v>
      </c>
      <c r="L1021" s="5">
        <f t="shared" si="15"/>
        <v>181050</v>
      </c>
    </row>
    <row r="1022" spans="1:12" x14ac:dyDescent="0.3">
      <c r="A1022" t="s">
        <v>1481</v>
      </c>
      <c r="B1022" t="s">
        <v>1482</v>
      </c>
      <c r="C1022" s="2">
        <v>45705</v>
      </c>
      <c r="D1022" t="s">
        <v>46</v>
      </c>
      <c r="E1022" t="s">
        <v>47</v>
      </c>
      <c r="F1022" t="s">
        <v>29</v>
      </c>
      <c r="G1022" t="s">
        <v>96</v>
      </c>
      <c r="H1022">
        <v>2</v>
      </c>
      <c r="I1022">
        <v>900</v>
      </c>
      <c r="J1022" t="s">
        <v>61</v>
      </c>
      <c r="K1022" t="s">
        <v>19</v>
      </c>
      <c r="L1022" s="5">
        <f t="shared" si="15"/>
        <v>1800</v>
      </c>
    </row>
    <row r="1023" spans="1:12" x14ac:dyDescent="0.3">
      <c r="A1023" t="s">
        <v>1483</v>
      </c>
      <c r="B1023" t="s">
        <v>150</v>
      </c>
      <c r="C1023" s="2">
        <v>46001</v>
      </c>
      <c r="D1023" t="s">
        <v>46</v>
      </c>
      <c r="E1023" t="s">
        <v>72</v>
      </c>
      <c r="F1023" t="s">
        <v>16</v>
      </c>
      <c r="G1023" t="s">
        <v>48</v>
      </c>
      <c r="H1023">
        <v>2</v>
      </c>
      <c r="I1023">
        <v>4850</v>
      </c>
      <c r="J1023" t="s">
        <v>61</v>
      </c>
      <c r="K1023" t="s">
        <v>19</v>
      </c>
      <c r="L1023" s="5">
        <f t="shared" si="15"/>
        <v>9700</v>
      </c>
    </row>
    <row r="1024" spans="1:12" x14ac:dyDescent="0.3">
      <c r="A1024" t="s">
        <v>1484</v>
      </c>
      <c r="B1024" t="s">
        <v>412</v>
      </c>
      <c r="C1024" s="2">
        <v>45670</v>
      </c>
      <c r="D1024" t="s">
        <v>33</v>
      </c>
      <c r="E1024" t="s">
        <v>34</v>
      </c>
      <c r="F1024" t="s">
        <v>59</v>
      </c>
      <c r="G1024" t="s">
        <v>228</v>
      </c>
      <c r="H1024">
        <v>2</v>
      </c>
      <c r="I1024">
        <v>4200</v>
      </c>
      <c r="J1024" t="s">
        <v>35</v>
      </c>
      <c r="K1024" t="s">
        <v>19</v>
      </c>
      <c r="L1024" s="5">
        <f t="shared" si="15"/>
        <v>8400</v>
      </c>
    </row>
    <row r="1025" spans="1:12" x14ac:dyDescent="0.3">
      <c r="A1025" t="s">
        <v>1485</v>
      </c>
      <c r="B1025" t="s">
        <v>497</v>
      </c>
      <c r="C1025" s="2">
        <v>45665</v>
      </c>
      <c r="D1025" t="s">
        <v>14</v>
      </c>
      <c r="E1025" t="s">
        <v>15</v>
      </c>
      <c r="F1025" t="s">
        <v>23</v>
      </c>
      <c r="G1025" t="s">
        <v>193</v>
      </c>
      <c r="H1025">
        <v>1</v>
      </c>
      <c r="I1025">
        <v>63550</v>
      </c>
      <c r="J1025" t="s">
        <v>41</v>
      </c>
      <c r="K1025" t="s">
        <v>19</v>
      </c>
      <c r="L1025" s="5">
        <f t="shared" si="15"/>
        <v>63550</v>
      </c>
    </row>
    <row r="1026" spans="1:12" x14ac:dyDescent="0.3">
      <c r="A1026" t="s">
        <v>1486</v>
      </c>
      <c r="B1026" t="s">
        <v>1020</v>
      </c>
      <c r="C1026" s="2">
        <v>45982</v>
      </c>
      <c r="D1026" t="s">
        <v>14</v>
      </c>
      <c r="E1026" t="s">
        <v>22</v>
      </c>
      <c r="F1026" t="s">
        <v>16</v>
      </c>
      <c r="G1026" t="s">
        <v>134</v>
      </c>
      <c r="H1026">
        <v>1</v>
      </c>
      <c r="I1026">
        <v>4050</v>
      </c>
      <c r="J1026" t="s">
        <v>41</v>
      </c>
      <c r="K1026" t="s">
        <v>19</v>
      </c>
      <c r="L1026" s="5">
        <f t="shared" si="15"/>
        <v>4050</v>
      </c>
    </row>
    <row r="1027" spans="1:12" x14ac:dyDescent="0.3">
      <c r="A1027" t="s">
        <v>1487</v>
      </c>
      <c r="B1027" t="s">
        <v>1488</v>
      </c>
      <c r="C1027" s="2">
        <v>45759</v>
      </c>
      <c r="D1027" t="s">
        <v>64</v>
      </c>
      <c r="E1027" t="s">
        <v>99</v>
      </c>
      <c r="F1027" t="s">
        <v>23</v>
      </c>
      <c r="G1027" t="s">
        <v>24</v>
      </c>
      <c r="H1027">
        <v>3</v>
      </c>
      <c r="I1027">
        <v>13350</v>
      </c>
      <c r="J1027" t="s">
        <v>61</v>
      </c>
      <c r="K1027" t="s">
        <v>19</v>
      </c>
      <c r="L1027" s="5">
        <f t="shared" ref="L1027:L1090" si="16">H1027*I1027</f>
        <v>40050</v>
      </c>
    </row>
    <row r="1028" spans="1:12" x14ac:dyDescent="0.3">
      <c r="A1028" t="s">
        <v>1489</v>
      </c>
      <c r="B1028" t="s">
        <v>1490</v>
      </c>
      <c r="C1028" s="2">
        <v>45892</v>
      </c>
      <c r="D1028" t="s">
        <v>33</v>
      </c>
      <c r="E1028" t="s">
        <v>68</v>
      </c>
      <c r="F1028" t="s">
        <v>16</v>
      </c>
      <c r="G1028" t="s">
        <v>143</v>
      </c>
      <c r="H1028">
        <v>2</v>
      </c>
      <c r="I1028">
        <v>400</v>
      </c>
      <c r="J1028" t="s">
        <v>41</v>
      </c>
      <c r="K1028" t="s">
        <v>69</v>
      </c>
      <c r="L1028" s="5">
        <f t="shared" si="16"/>
        <v>800</v>
      </c>
    </row>
    <row r="1029" spans="1:12" x14ac:dyDescent="0.3">
      <c r="A1029" t="s">
        <v>1491</v>
      </c>
      <c r="B1029" t="s">
        <v>593</v>
      </c>
      <c r="C1029" s="2">
        <v>45999</v>
      </c>
      <c r="D1029" t="s">
        <v>14</v>
      </c>
      <c r="E1029" t="s">
        <v>51</v>
      </c>
      <c r="F1029" t="s">
        <v>59</v>
      </c>
      <c r="G1029" t="s">
        <v>103</v>
      </c>
      <c r="H1029">
        <v>1</v>
      </c>
      <c r="I1029">
        <v>2100</v>
      </c>
      <c r="J1029" t="s">
        <v>18</v>
      </c>
      <c r="K1029" t="s">
        <v>19</v>
      </c>
      <c r="L1029" s="5">
        <f t="shared" si="16"/>
        <v>2100</v>
      </c>
    </row>
    <row r="1030" spans="1:12" x14ac:dyDescent="0.3">
      <c r="A1030" t="s">
        <v>1492</v>
      </c>
      <c r="B1030" t="s">
        <v>1463</v>
      </c>
      <c r="C1030" s="2">
        <v>45773</v>
      </c>
      <c r="D1030" t="s">
        <v>14</v>
      </c>
      <c r="E1030" t="s">
        <v>51</v>
      </c>
      <c r="F1030" t="s">
        <v>16</v>
      </c>
      <c r="G1030" t="s">
        <v>17</v>
      </c>
      <c r="H1030">
        <v>3</v>
      </c>
      <c r="I1030">
        <v>2250</v>
      </c>
      <c r="J1030" t="s">
        <v>18</v>
      </c>
      <c r="K1030" t="s">
        <v>19</v>
      </c>
      <c r="L1030" s="5">
        <f t="shared" si="16"/>
        <v>6750</v>
      </c>
    </row>
    <row r="1031" spans="1:12" x14ac:dyDescent="0.3">
      <c r="A1031" t="s">
        <v>1493</v>
      </c>
      <c r="B1031" t="s">
        <v>1107</v>
      </c>
      <c r="C1031" s="2">
        <v>45843</v>
      </c>
      <c r="D1031" t="s">
        <v>33</v>
      </c>
      <c r="E1031" t="s">
        <v>68</v>
      </c>
      <c r="F1031" t="s">
        <v>16</v>
      </c>
      <c r="G1031" t="s">
        <v>17</v>
      </c>
      <c r="H1031">
        <v>2</v>
      </c>
      <c r="I1031">
        <v>4400</v>
      </c>
      <c r="J1031" t="s">
        <v>35</v>
      </c>
      <c r="K1031" t="s">
        <v>19</v>
      </c>
      <c r="L1031" s="5">
        <f t="shared" si="16"/>
        <v>8800</v>
      </c>
    </row>
    <row r="1032" spans="1:12" x14ac:dyDescent="0.3">
      <c r="A1032" t="s">
        <v>1494</v>
      </c>
      <c r="B1032" t="s">
        <v>687</v>
      </c>
      <c r="C1032" s="2">
        <v>45867</v>
      </c>
      <c r="D1032" t="s">
        <v>33</v>
      </c>
      <c r="E1032" t="s">
        <v>38</v>
      </c>
      <c r="F1032" t="s">
        <v>39</v>
      </c>
      <c r="G1032" t="s">
        <v>146</v>
      </c>
      <c r="H1032">
        <v>1</v>
      </c>
      <c r="I1032">
        <v>7300</v>
      </c>
      <c r="J1032" t="s">
        <v>41</v>
      </c>
      <c r="K1032" t="s">
        <v>19</v>
      </c>
      <c r="L1032" s="5">
        <f t="shared" si="16"/>
        <v>7300</v>
      </c>
    </row>
    <row r="1033" spans="1:12" x14ac:dyDescent="0.3">
      <c r="A1033" t="s">
        <v>1495</v>
      </c>
      <c r="B1033" t="s">
        <v>13</v>
      </c>
      <c r="C1033" s="2">
        <v>45677</v>
      </c>
      <c r="D1033" t="s">
        <v>64</v>
      </c>
      <c r="E1033" t="s">
        <v>65</v>
      </c>
      <c r="F1033" t="s">
        <v>23</v>
      </c>
      <c r="G1033" t="s">
        <v>137</v>
      </c>
      <c r="H1033">
        <v>2</v>
      </c>
      <c r="I1033">
        <v>17300</v>
      </c>
      <c r="J1033" t="s">
        <v>115</v>
      </c>
      <c r="K1033" t="s">
        <v>19</v>
      </c>
      <c r="L1033" s="5">
        <f t="shared" si="16"/>
        <v>34600</v>
      </c>
    </row>
    <row r="1034" spans="1:12" x14ac:dyDescent="0.3">
      <c r="A1034" t="s">
        <v>1496</v>
      </c>
      <c r="B1034" t="s">
        <v>978</v>
      </c>
      <c r="C1034" s="2">
        <v>45829</v>
      </c>
      <c r="D1034" t="s">
        <v>33</v>
      </c>
      <c r="E1034" t="s">
        <v>38</v>
      </c>
      <c r="F1034" t="s">
        <v>16</v>
      </c>
      <c r="G1034" t="s">
        <v>17</v>
      </c>
      <c r="H1034">
        <v>1</v>
      </c>
      <c r="I1034">
        <v>1350</v>
      </c>
      <c r="J1034" t="s">
        <v>41</v>
      </c>
      <c r="K1034" t="s">
        <v>127</v>
      </c>
      <c r="L1034" s="5">
        <f t="shared" si="16"/>
        <v>1350</v>
      </c>
    </row>
    <row r="1035" spans="1:12" x14ac:dyDescent="0.3">
      <c r="A1035" t="s">
        <v>1497</v>
      </c>
      <c r="B1035" t="s">
        <v>571</v>
      </c>
      <c r="C1035" s="2">
        <v>45727</v>
      </c>
      <c r="D1035" t="s">
        <v>14</v>
      </c>
      <c r="E1035" t="s">
        <v>28</v>
      </c>
      <c r="F1035" t="s">
        <v>29</v>
      </c>
      <c r="G1035" t="s">
        <v>30</v>
      </c>
      <c r="H1035">
        <v>2</v>
      </c>
      <c r="I1035">
        <v>3100</v>
      </c>
      <c r="J1035" t="s">
        <v>18</v>
      </c>
      <c r="K1035" t="s">
        <v>19</v>
      </c>
      <c r="L1035" s="5">
        <f t="shared" si="16"/>
        <v>6200</v>
      </c>
    </row>
    <row r="1036" spans="1:12" x14ac:dyDescent="0.3">
      <c r="A1036" t="s">
        <v>1498</v>
      </c>
      <c r="B1036" t="s">
        <v>543</v>
      </c>
      <c r="C1036" s="2">
        <v>45841</v>
      </c>
      <c r="D1036" t="s">
        <v>33</v>
      </c>
      <c r="E1036" t="s">
        <v>34</v>
      </c>
      <c r="F1036" t="s">
        <v>23</v>
      </c>
      <c r="G1036" t="s">
        <v>193</v>
      </c>
      <c r="H1036">
        <v>1</v>
      </c>
      <c r="I1036">
        <v>21850</v>
      </c>
      <c r="J1036" t="s">
        <v>18</v>
      </c>
      <c r="K1036" t="s">
        <v>19</v>
      </c>
      <c r="L1036" s="5">
        <f t="shared" si="16"/>
        <v>21850</v>
      </c>
    </row>
    <row r="1037" spans="1:12" x14ac:dyDescent="0.3">
      <c r="A1037" t="s">
        <v>1499</v>
      </c>
      <c r="B1037" t="s">
        <v>1500</v>
      </c>
      <c r="C1037" s="2">
        <v>45773</v>
      </c>
      <c r="D1037" t="s">
        <v>46</v>
      </c>
      <c r="E1037" t="s">
        <v>72</v>
      </c>
      <c r="F1037" t="s">
        <v>59</v>
      </c>
      <c r="G1037" t="s">
        <v>322</v>
      </c>
      <c r="H1037">
        <v>1</v>
      </c>
      <c r="I1037">
        <v>1700</v>
      </c>
      <c r="J1037" t="s">
        <v>35</v>
      </c>
      <c r="K1037" t="s">
        <v>127</v>
      </c>
      <c r="L1037" s="5">
        <f t="shared" si="16"/>
        <v>1700</v>
      </c>
    </row>
    <row r="1038" spans="1:12" x14ac:dyDescent="0.3">
      <c r="A1038" t="s">
        <v>1501</v>
      </c>
      <c r="B1038" t="s">
        <v>1502</v>
      </c>
      <c r="C1038" s="2">
        <v>45778</v>
      </c>
      <c r="D1038" t="s">
        <v>14</v>
      </c>
      <c r="E1038" t="s">
        <v>51</v>
      </c>
      <c r="F1038" t="s">
        <v>16</v>
      </c>
      <c r="G1038" t="s">
        <v>134</v>
      </c>
      <c r="H1038">
        <v>1</v>
      </c>
      <c r="I1038">
        <v>950</v>
      </c>
      <c r="J1038" t="s">
        <v>18</v>
      </c>
      <c r="K1038" t="s">
        <v>19</v>
      </c>
      <c r="L1038" s="5">
        <f t="shared" si="16"/>
        <v>950</v>
      </c>
    </row>
    <row r="1039" spans="1:12" x14ac:dyDescent="0.3">
      <c r="A1039" t="s">
        <v>1503</v>
      </c>
      <c r="B1039" t="s">
        <v>54</v>
      </c>
      <c r="C1039" s="2">
        <v>45776</v>
      </c>
      <c r="D1039" t="s">
        <v>46</v>
      </c>
      <c r="E1039" t="s">
        <v>47</v>
      </c>
      <c r="F1039" t="s">
        <v>29</v>
      </c>
      <c r="G1039" t="s">
        <v>90</v>
      </c>
      <c r="H1039">
        <v>1</v>
      </c>
      <c r="I1039">
        <v>4150</v>
      </c>
      <c r="J1039" t="s">
        <v>115</v>
      </c>
      <c r="K1039" t="s">
        <v>19</v>
      </c>
      <c r="L1039" s="5">
        <f t="shared" si="16"/>
        <v>4150</v>
      </c>
    </row>
    <row r="1040" spans="1:12" x14ac:dyDescent="0.3">
      <c r="A1040" t="s">
        <v>1504</v>
      </c>
      <c r="B1040" t="s">
        <v>903</v>
      </c>
      <c r="C1040" s="2">
        <v>45671</v>
      </c>
      <c r="D1040" t="s">
        <v>14</v>
      </c>
      <c r="E1040" t="s">
        <v>22</v>
      </c>
      <c r="F1040" t="s">
        <v>16</v>
      </c>
      <c r="G1040" t="s">
        <v>134</v>
      </c>
      <c r="H1040">
        <v>3</v>
      </c>
      <c r="I1040">
        <v>4700</v>
      </c>
      <c r="J1040" t="s">
        <v>61</v>
      </c>
      <c r="K1040" t="s">
        <v>19</v>
      </c>
      <c r="L1040" s="5">
        <f t="shared" si="16"/>
        <v>14100</v>
      </c>
    </row>
    <row r="1041" spans="1:12" x14ac:dyDescent="0.3">
      <c r="A1041" t="s">
        <v>1505</v>
      </c>
      <c r="B1041" t="s">
        <v>192</v>
      </c>
      <c r="C1041" s="2">
        <v>45988</v>
      </c>
      <c r="D1041" t="s">
        <v>33</v>
      </c>
      <c r="E1041" t="s">
        <v>80</v>
      </c>
      <c r="F1041" t="s">
        <v>39</v>
      </c>
      <c r="G1041" t="s">
        <v>87</v>
      </c>
      <c r="H1041">
        <v>4</v>
      </c>
      <c r="I1041">
        <v>3850</v>
      </c>
      <c r="J1041" t="s">
        <v>18</v>
      </c>
      <c r="K1041" t="s">
        <v>19</v>
      </c>
      <c r="L1041" s="5">
        <f t="shared" si="16"/>
        <v>15400</v>
      </c>
    </row>
    <row r="1042" spans="1:12" x14ac:dyDescent="0.3">
      <c r="A1042" t="s">
        <v>1506</v>
      </c>
      <c r="B1042" t="s">
        <v>765</v>
      </c>
      <c r="C1042" s="2">
        <v>45946</v>
      </c>
      <c r="D1042" t="s">
        <v>14</v>
      </c>
      <c r="E1042" t="s">
        <v>22</v>
      </c>
      <c r="F1042" t="s">
        <v>29</v>
      </c>
      <c r="G1042" t="s">
        <v>96</v>
      </c>
      <c r="H1042">
        <v>1</v>
      </c>
      <c r="I1042">
        <v>7350</v>
      </c>
      <c r="J1042" t="s">
        <v>61</v>
      </c>
      <c r="K1042" t="s">
        <v>69</v>
      </c>
      <c r="L1042" s="5">
        <f t="shared" si="16"/>
        <v>7350</v>
      </c>
    </row>
    <row r="1043" spans="1:12" x14ac:dyDescent="0.3">
      <c r="A1043" t="s">
        <v>1507</v>
      </c>
      <c r="B1043" t="s">
        <v>1508</v>
      </c>
      <c r="C1043" s="2">
        <v>45752</v>
      </c>
      <c r="D1043" t="s">
        <v>64</v>
      </c>
      <c r="E1043" t="s">
        <v>86</v>
      </c>
      <c r="F1043" t="s">
        <v>39</v>
      </c>
      <c r="G1043" t="s">
        <v>44</v>
      </c>
      <c r="H1043">
        <v>1</v>
      </c>
      <c r="I1043">
        <v>1100</v>
      </c>
      <c r="J1043" t="s">
        <v>41</v>
      </c>
      <c r="K1043" t="s">
        <v>19</v>
      </c>
      <c r="L1043" s="5">
        <f t="shared" si="16"/>
        <v>1100</v>
      </c>
    </row>
    <row r="1044" spans="1:12" x14ac:dyDescent="0.3">
      <c r="A1044" t="s">
        <v>1509</v>
      </c>
      <c r="B1044" t="s">
        <v>516</v>
      </c>
      <c r="C1044" s="2">
        <v>45798</v>
      </c>
      <c r="D1044" t="s">
        <v>14</v>
      </c>
      <c r="E1044" t="s">
        <v>51</v>
      </c>
      <c r="F1044" t="s">
        <v>39</v>
      </c>
      <c r="G1044" t="s">
        <v>44</v>
      </c>
      <c r="H1044">
        <v>1</v>
      </c>
      <c r="I1044">
        <v>5300</v>
      </c>
      <c r="J1044" t="s">
        <v>115</v>
      </c>
      <c r="K1044" t="s">
        <v>19</v>
      </c>
      <c r="L1044" s="5">
        <f t="shared" si="16"/>
        <v>5300</v>
      </c>
    </row>
    <row r="1045" spans="1:12" x14ac:dyDescent="0.3">
      <c r="A1045" t="s">
        <v>1510</v>
      </c>
      <c r="B1045" t="s">
        <v>183</v>
      </c>
      <c r="C1045" s="2">
        <v>45707</v>
      </c>
      <c r="D1045" t="s">
        <v>64</v>
      </c>
      <c r="E1045" t="s">
        <v>93</v>
      </c>
      <c r="F1045" t="s">
        <v>16</v>
      </c>
      <c r="G1045" t="s">
        <v>134</v>
      </c>
      <c r="H1045">
        <v>3</v>
      </c>
      <c r="I1045">
        <v>4900</v>
      </c>
      <c r="J1045" t="s">
        <v>35</v>
      </c>
      <c r="K1045" t="s">
        <v>19</v>
      </c>
      <c r="L1045" s="5">
        <f t="shared" si="16"/>
        <v>14700</v>
      </c>
    </row>
    <row r="1046" spans="1:12" x14ac:dyDescent="0.3">
      <c r="A1046" t="s">
        <v>1511</v>
      </c>
      <c r="B1046" t="s">
        <v>173</v>
      </c>
      <c r="C1046" s="2">
        <v>45897</v>
      </c>
      <c r="D1046" t="s">
        <v>14</v>
      </c>
      <c r="E1046" t="s">
        <v>22</v>
      </c>
      <c r="F1046" t="s">
        <v>59</v>
      </c>
      <c r="G1046" t="s">
        <v>322</v>
      </c>
      <c r="H1046">
        <v>2</v>
      </c>
      <c r="I1046">
        <v>2500</v>
      </c>
      <c r="J1046" t="s">
        <v>61</v>
      </c>
      <c r="K1046" t="s">
        <v>19</v>
      </c>
      <c r="L1046" s="5">
        <f t="shared" si="16"/>
        <v>5000</v>
      </c>
    </row>
    <row r="1047" spans="1:12" x14ac:dyDescent="0.3">
      <c r="A1047" t="s">
        <v>1512</v>
      </c>
      <c r="B1047" t="s">
        <v>920</v>
      </c>
      <c r="C1047" s="2">
        <v>45783</v>
      </c>
      <c r="D1047" t="s">
        <v>64</v>
      </c>
      <c r="E1047" t="s">
        <v>65</v>
      </c>
      <c r="F1047" t="s">
        <v>39</v>
      </c>
      <c r="G1047" t="s">
        <v>87</v>
      </c>
      <c r="H1047">
        <v>2</v>
      </c>
      <c r="I1047">
        <v>5250</v>
      </c>
      <c r="J1047" t="s">
        <v>18</v>
      </c>
      <c r="K1047" t="s">
        <v>19</v>
      </c>
      <c r="L1047" s="5">
        <f t="shared" si="16"/>
        <v>10500</v>
      </c>
    </row>
    <row r="1048" spans="1:12" x14ac:dyDescent="0.3">
      <c r="A1048" t="s">
        <v>1513</v>
      </c>
      <c r="B1048" t="s">
        <v>438</v>
      </c>
      <c r="C1048" s="2">
        <v>45921</v>
      </c>
      <c r="D1048" t="s">
        <v>33</v>
      </c>
      <c r="E1048" t="s">
        <v>68</v>
      </c>
      <c r="F1048" t="s">
        <v>39</v>
      </c>
      <c r="G1048" t="s">
        <v>44</v>
      </c>
      <c r="H1048">
        <v>2</v>
      </c>
      <c r="I1048">
        <v>2150</v>
      </c>
      <c r="J1048" t="s">
        <v>35</v>
      </c>
      <c r="K1048" t="s">
        <v>19</v>
      </c>
      <c r="L1048" s="5">
        <f t="shared" si="16"/>
        <v>4300</v>
      </c>
    </row>
    <row r="1049" spans="1:12" x14ac:dyDescent="0.3">
      <c r="A1049" t="s">
        <v>1514</v>
      </c>
      <c r="B1049" t="s">
        <v>816</v>
      </c>
      <c r="C1049" s="2">
        <v>45836</v>
      </c>
      <c r="D1049" t="s">
        <v>14</v>
      </c>
      <c r="E1049" t="s">
        <v>28</v>
      </c>
      <c r="F1049" t="s">
        <v>39</v>
      </c>
      <c r="G1049" t="s">
        <v>146</v>
      </c>
      <c r="H1049">
        <v>1</v>
      </c>
      <c r="I1049">
        <v>9650</v>
      </c>
      <c r="J1049" t="s">
        <v>18</v>
      </c>
      <c r="K1049" t="s">
        <v>127</v>
      </c>
      <c r="L1049" s="5">
        <f t="shared" si="16"/>
        <v>9650</v>
      </c>
    </row>
    <row r="1050" spans="1:12" x14ac:dyDescent="0.3">
      <c r="A1050" t="s">
        <v>1515</v>
      </c>
      <c r="B1050" t="s">
        <v>758</v>
      </c>
      <c r="C1050" s="2">
        <v>45950</v>
      </c>
      <c r="D1050" t="s">
        <v>14</v>
      </c>
      <c r="E1050" t="s">
        <v>15</v>
      </c>
      <c r="F1050" t="s">
        <v>59</v>
      </c>
      <c r="G1050" t="s">
        <v>163</v>
      </c>
      <c r="H1050">
        <v>1</v>
      </c>
      <c r="I1050">
        <v>1550</v>
      </c>
      <c r="J1050" t="s">
        <v>18</v>
      </c>
      <c r="K1050" t="s">
        <v>19</v>
      </c>
      <c r="L1050" s="5">
        <f t="shared" si="16"/>
        <v>1550</v>
      </c>
    </row>
    <row r="1051" spans="1:12" x14ac:dyDescent="0.3">
      <c r="A1051" t="s">
        <v>1516</v>
      </c>
      <c r="B1051" t="s">
        <v>370</v>
      </c>
      <c r="C1051" s="2">
        <v>45858</v>
      </c>
      <c r="D1051" t="s">
        <v>64</v>
      </c>
      <c r="E1051" t="s">
        <v>99</v>
      </c>
      <c r="F1051" t="s">
        <v>39</v>
      </c>
      <c r="G1051" t="s">
        <v>40</v>
      </c>
      <c r="H1051">
        <v>1</v>
      </c>
      <c r="I1051">
        <v>2550</v>
      </c>
      <c r="J1051" t="s">
        <v>35</v>
      </c>
      <c r="K1051" t="s">
        <v>19</v>
      </c>
      <c r="L1051" s="5">
        <f t="shared" si="16"/>
        <v>2550</v>
      </c>
    </row>
    <row r="1052" spans="1:12" x14ac:dyDescent="0.3">
      <c r="A1052" t="s">
        <v>1517</v>
      </c>
      <c r="B1052" t="s">
        <v>1432</v>
      </c>
      <c r="C1052" s="2">
        <v>45725</v>
      </c>
      <c r="D1052" t="s">
        <v>33</v>
      </c>
      <c r="E1052" t="s">
        <v>80</v>
      </c>
      <c r="F1052" t="s">
        <v>29</v>
      </c>
      <c r="G1052" t="s">
        <v>184</v>
      </c>
      <c r="H1052">
        <v>2</v>
      </c>
      <c r="I1052">
        <v>6500</v>
      </c>
      <c r="J1052" t="s">
        <v>18</v>
      </c>
      <c r="K1052" t="s">
        <v>19</v>
      </c>
      <c r="L1052" s="5">
        <f t="shared" si="16"/>
        <v>13000</v>
      </c>
    </row>
    <row r="1053" spans="1:12" x14ac:dyDescent="0.3">
      <c r="A1053" t="s">
        <v>1518</v>
      </c>
      <c r="B1053" t="s">
        <v>1519</v>
      </c>
      <c r="C1053" s="2">
        <v>45830</v>
      </c>
      <c r="D1053" t="s">
        <v>33</v>
      </c>
      <c r="E1053" t="s">
        <v>80</v>
      </c>
      <c r="F1053" t="s">
        <v>29</v>
      </c>
      <c r="G1053" t="s">
        <v>100</v>
      </c>
      <c r="H1053">
        <v>2</v>
      </c>
      <c r="I1053">
        <v>3650</v>
      </c>
      <c r="J1053" t="s">
        <v>18</v>
      </c>
      <c r="K1053" t="s">
        <v>19</v>
      </c>
      <c r="L1053" s="5">
        <f t="shared" si="16"/>
        <v>7300</v>
      </c>
    </row>
    <row r="1054" spans="1:12" x14ac:dyDescent="0.3">
      <c r="A1054" t="s">
        <v>1520</v>
      </c>
      <c r="B1054" t="s">
        <v>1271</v>
      </c>
      <c r="C1054" s="2">
        <v>45753</v>
      </c>
      <c r="D1054" t="s">
        <v>64</v>
      </c>
      <c r="E1054" t="s">
        <v>86</v>
      </c>
      <c r="F1054" t="s">
        <v>59</v>
      </c>
      <c r="G1054" t="s">
        <v>103</v>
      </c>
      <c r="H1054">
        <v>1</v>
      </c>
      <c r="I1054">
        <v>2850</v>
      </c>
      <c r="J1054" t="s">
        <v>35</v>
      </c>
      <c r="K1054" t="s">
        <v>19</v>
      </c>
      <c r="L1054" s="5">
        <f t="shared" si="16"/>
        <v>2850</v>
      </c>
    </row>
    <row r="1055" spans="1:12" x14ac:dyDescent="0.3">
      <c r="A1055" t="s">
        <v>1521</v>
      </c>
      <c r="B1055" t="s">
        <v>543</v>
      </c>
      <c r="C1055" s="2">
        <v>45998</v>
      </c>
      <c r="D1055" t="s">
        <v>33</v>
      </c>
      <c r="E1055" t="s">
        <v>80</v>
      </c>
      <c r="F1055" t="s">
        <v>59</v>
      </c>
      <c r="G1055" t="s">
        <v>103</v>
      </c>
      <c r="H1055">
        <v>1</v>
      </c>
      <c r="I1055">
        <v>1200</v>
      </c>
      <c r="J1055" t="s">
        <v>41</v>
      </c>
      <c r="K1055" t="s">
        <v>19</v>
      </c>
      <c r="L1055" s="5">
        <f t="shared" si="16"/>
        <v>1200</v>
      </c>
    </row>
    <row r="1056" spans="1:12" x14ac:dyDescent="0.3">
      <c r="A1056" t="s">
        <v>1522</v>
      </c>
      <c r="B1056" t="s">
        <v>190</v>
      </c>
      <c r="C1056" s="2">
        <v>45727</v>
      </c>
      <c r="D1056" t="s">
        <v>33</v>
      </c>
      <c r="E1056" t="s">
        <v>34</v>
      </c>
      <c r="F1056" t="s">
        <v>59</v>
      </c>
      <c r="G1056" t="s">
        <v>163</v>
      </c>
      <c r="H1056">
        <v>2</v>
      </c>
      <c r="I1056">
        <v>4600</v>
      </c>
      <c r="J1056" t="s">
        <v>35</v>
      </c>
      <c r="K1056" t="s">
        <v>19</v>
      </c>
      <c r="L1056" s="5">
        <f t="shared" si="16"/>
        <v>9200</v>
      </c>
    </row>
    <row r="1057" spans="1:12" x14ac:dyDescent="0.3">
      <c r="A1057" t="s">
        <v>1523</v>
      </c>
      <c r="B1057" t="s">
        <v>675</v>
      </c>
      <c r="C1057" s="2">
        <v>45740</v>
      </c>
      <c r="D1057" t="s">
        <v>33</v>
      </c>
      <c r="E1057" t="s">
        <v>80</v>
      </c>
      <c r="F1057" t="s">
        <v>16</v>
      </c>
      <c r="G1057" t="s">
        <v>143</v>
      </c>
      <c r="H1057">
        <v>2</v>
      </c>
      <c r="I1057">
        <v>4600</v>
      </c>
      <c r="J1057" t="s">
        <v>18</v>
      </c>
      <c r="K1057" t="s">
        <v>19</v>
      </c>
      <c r="L1057" s="5">
        <f t="shared" si="16"/>
        <v>9200</v>
      </c>
    </row>
    <row r="1058" spans="1:12" x14ac:dyDescent="0.3">
      <c r="A1058" t="s">
        <v>1524</v>
      </c>
      <c r="B1058" t="s">
        <v>739</v>
      </c>
      <c r="C1058" s="2">
        <v>45708</v>
      </c>
      <c r="D1058" t="s">
        <v>14</v>
      </c>
      <c r="E1058" t="s">
        <v>22</v>
      </c>
      <c r="F1058" t="s">
        <v>23</v>
      </c>
      <c r="G1058" t="s">
        <v>137</v>
      </c>
      <c r="H1058">
        <v>3</v>
      </c>
      <c r="I1058">
        <v>7350</v>
      </c>
      <c r="J1058" t="s">
        <v>18</v>
      </c>
      <c r="K1058" t="s">
        <v>19</v>
      </c>
      <c r="L1058" s="5">
        <f t="shared" si="16"/>
        <v>22050</v>
      </c>
    </row>
    <row r="1059" spans="1:12" x14ac:dyDescent="0.3">
      <c r="A1059" t="s">
        <v>1525</v>
      </c>
      <c r="B1059" t="s">
        <v>1526</v>
      </c>
      <c r="C1059" s="2">
        <v>45910</v>
      </c>
      <c r="D1059" t="s">
        <v>14</v>
      </c>
      <c r="E1059" t="s">
        <v>22</v>
      </c>
      <c r="F1059" t="s">
        <v>23</v>
      </c>
      <c r="G1059" t="s">
        <v>140</v>
      </c>
      <c r="H1059">
        <v>2</v>
      </c>
      <c r="I1059">
        <v>56800</v>
      </c>
      <c r="J1059" t="s">
        <v>61</v>
      </c>
      <c r="K1059" t="s">
        <v>19</v>
      </c>
      <c r="L1059" s="5">
        <f t="shared" si="16"/>
        <v>113600</v>
      </c>
    </row>
    <row r="1060" spans="1:12" x14ac:dyDescent="0.3">
      <c r="A1060" t="s">
        <v>1527</v>
      </c>
      <c r="B1060" t="s">
        <v>813</v>
      </c>
      <c r="C1060" s="2">
        <v>45738</v>
      </c>
      <c r="D1060" t="s">
        <v>64</v>
      </c>
      <c r="E1060" t="s">
        <v>86</v>
      </c>
      <c r="F1060" t="s">
        <v>23</v>
      </c>
      <c r="G1060" t="s">
        <v>140</v>
      </c>
      <c r="H1060">
        <v>1</v>
      </c>
      <c r="I1060">
        <v>36750</v>
      </c>
      <c r="J1060" t="s">
        <v>41</v>
      </c>
      <c r="K1060" t="s">
        <v>19</v>
      </c>
      <c r="L1060" s="5">
        <f t="shared" si="16"/>
        <v>36750</v>
      </c>
    </row>
    <row r="1061" spans="1:12" x14ac:dyDescent="0.3">
      <c r="A1061" t="s">
        <v>1528</v>
      </c>
      <c r="B1061" t="s">
        <v>392</v>
      </c>
      <c r="C1061" s="2">
        <v>45967</v>
      </c>
      <c r="D1061" t="s">
        <v>14</v>
      </c>
      <c r="E1061" t="s">
        <v>15</v>
      </c>
      <c r="F1061" t="s">
        <v>59</v>
      </c>
      <c r="G1061" t="s">
        <v>228</v>
      </c>
      <c r="H1061">
        <v>1</v>
      </c>
      <c r="I1061">
        <v>850</v>
      </c>
      <c r="J1061" t="s">
        <v>41</v>
      </c>
      <c r="K1061" t="s">
        <v>19</v>
      </c>
      <c r="L1061" s="5">
        <f t="shared" si="16"/>
        <v>850</v>
      </c>
    </row>
    <row r="1062" spans="1:12" x14ac:dyDescent="0.3">
      <c r="A1062" t="s">
        <v>1529</v>
      </c>
      <c r="B1062" t="s">
        <v>664</v>
      </c>
      <c r="C1062" s="2">
        <v>45776</v>
      </c>
      <c r="D1062" t="s">
        <v>46</v>
      </c>
      <c r="E1062" t="s">
        <v>47</v>
      </c>
      <c r="F1062" t="s">
        <v>16</v>
      </c>
      <c r="G1062" t="s">
        <v>134</v>
      </c>
      <c r="H1062">
        <v>1</v>
      </c>
      <c r="I1062">
        <v>8350</v>
      </c>
      <c r="J1062" t="s">
        <v>18</v>
      </c>
      <c r="K1062" t="s">
        <v>127</v>
      </c>
      <c r="L1062" s="5">
        <f t="shared" si="16"/>
        <v>8350</v>
      </c>
    </row>
    <row r="1063" spans="1:12" x14ac:dyDescent="0.3">
      <c r="A1063" t="s">
        <v>1530</v>
      </c>
      <c r="B1063" t="s">
        <v>661</v>
      </c>
      <c r="C1063" s="2">
        <v>45737</v>
      </c>
      <c r="D1063" t="s">
        <v>46</v>
      </c>
      <c r="E1063" t="s">
        <v>47</v>
      </c>
      <c r="F1063" t="s">
        <v>16</v>
      </c>
      <c r="G1063" t="s">
        <v>17</v>
      </c>
      <c r="H1063">
        <v>1</v>
      </c>
      <c r="I1063">
        <v>6450</v>
      </c>
      <c r="J1063" t="s">
        <v>41</v>
      </c>
      <c r="K1063" t="s">
        <v>69</v>
      </c>
      <c r="L1063" s="5">
        <f t="shared" si="16"/>
        <v>6450</v>
      </c>
    </row>
    <row r="1064" spans="1:12" x14ac:dyDescent="0.3">
      <c r="A1064" t="s">
        <v>1531</v>
      </c>
      <c r="B1064" t="s">
        <v>236</v>
      </c>
      <c r="C1064" s="2">
        <v>45999</v>
      </c>
      <c r="D1064" t="s">
        <v>14</v>
      </c>
      <c r="E1064" t="s">
        <v>15</v>
      </c>
      <c r="F1064" t="s">
        <v>29</v>
      </c>
      <c r="G1064" t="s">
        <v>90</v>
      </c>
      <c r="H1064">
        <v>1</v>
      </c>
      <c r="I1064">
        <v>650</v>
      </c>
      <c r="J1064" t="s">
        <v>61</v>
      </c>
      <c r="K1064" t="s">
        <v>19</v>
      </c>
      <c r="L1064" s="5">
        <f t="shared" si="16"/>
        <v>650</v>
      </c>
    </row>
    <row r="1065" spans="1:12" x14ac:dyDescent="0.3">
      <c r="A1065" t="s">
        <v>1532</v>
      </c>
      <c r="B1065" t="s">
        <v>264</v>
      </c>
      <c r="C1065" s="2">
        <v>45884</v>
      </c>
      <c r="D1065" t="s">
        <v>64</v>
      </c>
      <c r="E1065" t="s">
        <v>93</v>
      </c>
      <c r="F1065" t="s">
        <v>29</v>
      </c>
      <c r="G1065" t="s">
        <v>90</v>
      </c>
      <c r="H1065">
        <v>4</v>
      </c>
      <c r="I1065">
        <v>750</v>
      </c>
      <c r="J1065" t="s">
        <v>35</v>
      </c>
      <c r="K1065" t="s">
        <v>19</v>
      </c>
      <c r="L1065" s="5">
        <f t="shared" si="16"/>
        <v>3000</v>
      </c>
    </row>
    <row r="1066" spans="1:12" x14ac:dyDescent="0.3">
      <c r="A1066" t="s">
        <v>1533</v>
      </c>
      <c r="B1066" t="s">
        <v>280</v>
      </c>
      <c r="C1066" s="2">
        <v>45781</v>
      </c>
      <c r="D1066" t="s">
        <v>64</v>
      </c>
      <c r="E1066" t="s">
        <v>99</v>
      </c>
      <c r="F1066" t="s">
        <v>59</v>
      </c>
      <c r="G1066" t="s">
        <v>322</v>
      </c>
      <c r="H1066">
        <v>5</v>
      </c>
      <c r="I1066">
        <v>2100</v>
      </c>
      <c r="J1066" t="s">
        <v>18</v>
      </c>
      <c r="K1066" t="s">
        <v>19</v>
      </c>
      <c r="L1066" s="5">
        <f t="shared" si="16"/>
        <v>10500</v>
      </c>
    </row>
    <row r="1067" spans="1:12" x14ac:dyDescent="0.3">
      <c r="A1067" t="s">
        <v>1534</v>
      </c>
      <c r="B1067" t="s">
        <v>219</v>
      </c>
      <c r="C1067" s="2">
        <v>45819</v>
      </c>
      <c r="D1067" t="s">
        <v>64</v>
      </c>
      <c r="E1067" t="s">
        <v>93</v>
      </c>
      <c r="F1067" t="s">
        <v>23</v>
      </c>
      <c r="G1067" t="s">
        <v>193</v>
      </c>
      <c r="H1067">
        <v>1</v>
      </c>
      <c r="I1067">
        <v>8400</v>
      </c>
      <c r="J1067" t="s">
        <v>61</v>
      </c>
      <c r="K1067" t="s">
        <v>127</v>
      </c>
      <c r="L1067" s="5">
        <f t="shared" si="16"/>
        <v>8400</v>
      </c>
    </row>
    <row r="1068" spans="1:12" x14ac:dyDescent="0.3">
      <c r="A1068" t="s">
        <v>1535</v>
      </c>
      <c r="B1068" t="s">
        <v>148</v>
      </c>
      <c r="C1068" s="2">
        <v>45983</v>
      </c>
      <c r="D1068" t="s">
        <v>14</v>
      </c>
      <c r="E1068" t="s">
        <v>28</v>
      </c>
      <c r="F1068" t="s">
        <v>29</v>
      </c>
      <c r="G1068" t="s">
        <v>30</v>
      </c>
      <c r="H1068">
        <v>1</v>
      </c>
      <c r="I1068">
        <v>5850</v>
      </c>
      <c r="J1068" t="s">
        <v>18</v>
      </c>
      <c r="K1068" t="s">
        <v>19</v>
      </c>
      <c r="L1068" s="5">
        <f t="shared" si="16"/>
        <v>5850</v>
      </c>
    </row>
    <row r="1069" spans="1:12" x14ac:dyDescent="0.3">
      <c r="A1069" t="s">
        <v>1536</v>
      </c>
      <c r="B1069" t="s">
        <v>787</v>
      </c>
      <c r="C1069" s="2">
        <v>46001</v>
      </c>
      <c r="D1069" t="s">
        <v>14</v>
      </c>
      <c r="E1069" t="s">
        <v>22</v>
      </c>
      <c r="F1069" t="s">
        <v>23</v>
      </c>
      <c r="G1069" t="s">
        <v>137</v>
      </c>
      <c r="H1069">
        <v>2</v>
      </c>
      <c r="I1069">
        <v>34650</v>
      </c>
      <c r="J1069" t="s">
        <v>41</v>
      </c>
      <c r="K1069" t="s">
        <v>19</v>
      </c>
      <c r="L1069" s="5">
        <f t="shared" si="16"/>
        <v>69300</v>
      </c>
    </row>
    <row r="1070" spans="1:12" x14ac:dyDescent="0.3">
      <c r="A1070" t="s">
        <v>1537</v>
      </c>
      <c r="B1070" t="s">
        <v>264</v>
      </c>
      <c r="C1070" s="2">
        <v>45817</v>
      </c>
      <c r="D1070" t="s">
        <v>64</v>
      </c>
      <c r="E1070" t="s">
        <v>93</v>
      </c>
      <c r="F1070" t="s">
        <v>29</v>
      </c>
      <c r="G1070" t="s">
        <v>96</v>
      </c>
      <c r="H1070">
        <v>3</v>
      </c>
      <c r="I1070">
        <v>6950</v>
      </c>
      <c r="J1070" t="s">
        <v>41</v>
      </c>
      <c r="K1070" t="s">
        <v>19</v>
      </c>
      <c r="L1070" s="5">
        <f t="shared" si="16"/>
        <v>20850</v>
      </c>
    </row>
    <row r="1071" spans="1:12" x14ac:dyDescent="0.3">
      <c r="A1071" t="s">
        <v>1538</v>
      </c>
      <c r="B1071" t="s">
        <v>1539</v>
      </c>
      <c r="C1071" s="2">
        <v>45845</v>
      </c>
      <c r="D1071" t="s">
        <v>64</v>
      </c>
      <c r="E1071" t="s">
        <v>65</v>
      </c>
      <c r="F1071" t="s">
        <v>16</v>
      </c>
      <c r="G1071" t="s">
        <v>17</v>
      </c>
      <c r="H1071">
        <v>2</v>
      </c>
      <c r="I1071">
        <v>5500</v>
      </c>
      <c r="J1071" t="s">
        <v>115</v>
      </c>
      <c r="K1071" t="s">
        <v>19</v>
      </c>
      <c r="L1071" s="5">
        <f t="shared" si="16"/>
        <v>11000</v>
      </c>
    </row>
    <row r="1072" spans="1:12" x14ac:dyDescent="0.3">
      <c r="A1072" t="s">
        <v>1540</v>
      </c>
      <c r="B1072" t="s">
        <v>359</v>
      </c>
      <c r="C1072" s="2">
        <v>46017</v>
      </c>
      <c r="D1072" t="s">
        <v>14</v>
      </c>
      <c r="E1072" t="s">
        <v>15</v>
      </c>
      <c r="F1072" t="s">
        <v>29</v>
      </c>
      <c r="G1072" t="s">
        <v>30</v>
      </c>
      <c r="H1072">
        <v>2</v>
      </c>
      <c r="I1072">
        <v>4600</v>
      </c>
      <c r="J1072" t="s">
        <v>18</v>
      </c>
      <c r="K1072" t="s">
        <v>19</v>
      </c>
      <c r="L1072" s="5">
        <f t="shared" si="16"/>
        <v>9200</v>
      </c>
    </row>
    <row r="1073" spans="1:12" x14ac:dyDescent="0.3">
      <c r="A1073" t="s">
        <v>1541</v>
      </c>
      <c r="B1073" t="s">
        <v>1075</v>
      </c>
      <c r="C1073" s="2">
        <v>45886</v>
      </c>
      <c r="D1073" t="s">
        <v>64</v>
      </c>
      <c r="E1073" t="s">
        <v>86</v>
      </c>
      <c r="F1073" t="s">
        <v>16</v>
      </c>
      <c r="G1073" t="s">
        <v>48</v>
      </c>
      <c r="H1073">
        <v>2</v>
      </c>
      <c r="I1073">
        <v>4750</v>
      </c>
      <c r="J1073" t="s">
        <v>41</v>
      </c>
      <c r="K1073" t="s">
        <v>19</v>
      </c>
      <c r="L1073" s="5">
        <f t="shared" si="16"/>
        <v>9500</v>
      </c>
    </row>
    <row r="1074" spans="1:12" x14ac:dyDescent="0.3">
      <c r="A1074" t="s">
        <v>1542</v>
      </c>
      <c r="B1074" t="s">
        <v>628</v>
      </c>
      <c r="C1074" s="2">
        <v>45782</v>
      </c>
      <c r="D1074" t="s">
        <v>64</v>
      </c>
      <c r="E1074" t="s">
        <v>86</v>
      </c>
      <c r="F1074" t="s">
        <v>16</v>
      </c>
      <c r="G1074" t="s">
        <v>48</v>
      </c>
      <c r="H1074">
        <v>1</v>
      </c>
      <c r="I1074">
        <v>4600</v>
      </c>
      <c r="J1074" t="s">
        <v>41</v>
      </c>
      <c r="K1074" t="s">
        <v>19</v>
      </c>
      <c r="L1074" s="5">
        <f t="shared" si="16"/>
        <v>4600</v>
      </c>
    </row>
    <row r="1075" spans="1:12" x14ac:dyDescent="0.3">
      <c r="A1075" t="s">
        <v>1543</v>
      </c>
      <c r="B1075" t="s">
        <v>438</v>
      </c>
      <c r="C1075" s="2">
        <v>45930</v>
      </c>
      <c r="D1075" t="s">
        <v>14</v>
      </c>
      <c r="E1075" t="s">
        <v>15</v>
      </c>
      <c r="F1075" t="s">
        <v>39</v>
      </c>
      <c r="G1075" t="s">
        <v>52</v>
      </c>
      <c r="H1075">
        <v>4</v>
      </c>
      <c r="I1075">
        <v>4300</v>
      </c>
      <c r="J1075" t="s">
        <v>35</v>
      </c>
      <c r="K1075" t="s">
        <v>19</v>
      </c>
      <c r="L1075" s="5">
        <f t="shared" si="16"/>
        <v>17200</v>
      </c>
    </row>
    <row r="1076" spans="1:12" x14ac:dyDescent="0.3">
      <c r="A1076" t="s">
        <v>1544</v>
      </c>
      <c r="B1076" t="s">
        <v>192</v>
      </c>
      <c r="C1076" s="2">
        <v>45681</v>
      </c>
      <c r="D1076" t="s">
        <v>14</v>
      </c>
      <c r="E1076" t="s">
        <v>28</v>
      </c>
      <c r="F1076" t="s">
        <v>39</v>
      </c>
      <c r="G1076" t="s">
        <v>52</v>
      </c>
      <c r="H1076">
        <v>1</v>
      </c>
      <c r="I1076">
        <v>2150</v>
      </c>
      <c r="J1076" t="s">
        <v>18</v>
      </c>
      <c r="K1076" t="s">
        <v>19</v>
      </c>
      <c r="L1076" s="5">
        <f t="shared" si="16"/>
        <v>2150</v>
      </c>
    </row>
    <row r="1077" spans="1:12" x14ac:dyDescent="0.3">
      <c r="A1077" t="s">
        <v>1545</v>
      </c>
      <c r="C1077" s="2">
        <v>45660</v>
      </c>
      <c r="D1077" t="s">
        <v>64</v>
      </c>
      <c r="E1077" t="s">
        <v>65</v>
      </c>
      <c r="F1077" t="s">
        <v>23</v>
      </c>
      <c r="G1077" t="s">
        <v>24</v>
      </c>
      <c r="H1077">
        <v>1</v>
      </c>
      <c r="I1077">
        <v>13550</v>
      </c>
      <c r="J1077" t="s">
        <v>35</v>
      </c>
      <c r="K1077" t="s">
        <v>19</v>
      </c>
      <c r="L1077" s="5">
        <f t="shared" si="16"/>
        <v>13550</v>
      </c>
    </row>
    <row r="1078" spans="1:12" x14ac:dyDescent="0.3">
      <c r="A1078" t="s">
        <v>1546</v>
      </c>
      <c r="B1078" t="s">
        <v>432</v>
      </c>
      <c r="C1078" s="2">
        <v>45990</v>
      </c>
      <c r="D1078" t="s">
        <v>14</v>
      </c>
      <c r="E1078" t="s">
        <v>51</v>
      </c>
      <c r="F1078" t="s">
        <v>16</v>
      </c>
      <c r="G1078" t="s">
        <v>143</v>
      </c>
      <c r="H1078">
        <v>1</v>
      </c>
      <c r="I1078">
        <v>6150</v>
      </c>
      <c r="J1078" t="s">
        <v>115</v>
      </c>
      <c r="K1078" t="s">
        <v>19</v>
      </c>
      <c r="L1078" s="5">
        <f t="shared" si="16"/>
        <v>6150</v>
      </c>
    </row>
    <row r="1079" spans="1:12" x14ac:dyDescent="0.3">
      <c r="A1079" t="s">
        <v>1547</v>
      </c>
      <c r="B1079" t="s">
        <v>131</v>
      </c>
      <c r="C1079" s="2">
        <v>45833</v>
      </c>
      <c r="D1079" t="s">
        <v>14</v>
      </c>
      <c r="E1079" t="s">
        <v>15</v>
      </c>
      <c r="F1079" t="s">
        <v>39</v>
      </c>
      <c r="G1079" t="s">
        <v>44</v>
      </c>
      <c r="H1079">
        <v>2</v>
      </c>
      <c r="I1079">
        <v>8500</v>
      </c>
      <c r="J1079" t="s">
        <v>18</v>
      </c>
      <c r="K1079" t="s">
        <v>127</v>
      </c>
      <c r="L1079" s="5">
        <f t="shared" si="16"/>
        <v>17000</v>
      </c>
    </row>
    <row r="1080" spans="1:12" x14ac:dyDescent="0.3">
      <c r="A1080" t="s">
        <v>1548</v>
      </c>
      <c r="B1080" t="s">
        <v>995</v>
      </c>
      <c r="C1080" s="2">
        <v>45724</v>
      </c>
      <c r="D1080" t="s">
        <v>33</v>
      </c>
      <c r="E1080" t="s">
        <v>68</v>
      </c>
      <c r="F1080" t="s">
        <v>29</v>
      </c>
      <c r="G1080" t="s">
        <v>100</v>
      </c>
      <c r="H1080">
        <v>2</v>
      </c>
      <c r="I1080">
        <v>3750</v>
      </c>
      <c r="J1080" t="s">
        <v>41</v>
      </c>
      <c r="K1080" t="s">
        <v>69</v>
      </c>
      <c r="L1080" s="5">
        <f t="shared" si="16"/>
        <v>7500</v>
      </c>
    </row>
    <row r="1081" spans="1:12" x14ac:dyDescent="0.3">
      <c r="A1081" t="s">
        <v>1549</v>
      </c>
      <c r="B1081" t="s">
        <v>272</v>
      </c>
      <c r="C1081" s="2">
        <v>45769</v>
      </c>
      <c r="D1081" t="s">
        <v>14</v>
      </c>
      <c r="E1081" t="s">
        <v>22</v>
      </c>
      <c r="F1081" t="s">
        <v>29</v>
      </c>
      <c r="G1081" t="s">
        <v>96</v>
      </c>
      <c r="H1081">
        <v>4</v>
      </c>
      <c r="I1081">
        <v>7300</v>
      </c>
      <c r="J1081" t="s">
        <v>18</v>
      </c>
      <c r="K1081" t="s">
        <v>19</v>
      </c>
      <c r="L1081" s="5">
        <f t="shared" si="16"/>
        <v>29200</v>
      </c>
    </row>
    <row r="1082" spans="1:12" x14ac:dyDescent="0.3">
      <c r="A1082" t="s">
        <v>1550</v>
      </c>
      <c r="B1082" t="s">
        <v>1168</v>
      </c>
      <c r="C1082" s="2">
        <v>45969</v>
      </c>
      <c r="D1082" t="s">
        <v>46</v>
      </c>
      <c r="E1082" t="s">
        <v>55</v>
      </c>
      <c r="F1082" t="s">
        <v>16</v>
      </c>
      <c r="G1082" t="s">
        <v>81</v>
      </c>
      <c r="H1082">
        <v>2</v>
      </c>
      <c r="I1082">
        <v>7150</v>
      </c>
      <c r="J1082" t="s">
        <v>41</v>
      </c>
      <c r="K1082" t="s">
        <v>19</v>
      </c>
      <c r="L1082" s="5">
        <f t="shared" si="16"/>
        <v>14300</v>
      </c>
    </row>
    <row r="1083" spans="1:12" x14ac:dyDescent="0.3">
      <c r="A1083" t="s">
        <v>1551</v>
      </c>
      <c r="B1083" t="s">
        <v>910</v>
      </c>
      <c r="C1083" s="2">
        <v>45660</v>
      </c>
      <c r="D1083" t="s">
        <v>46</v>
      </c>
      <c r="E1083" t="s">
        <v>55</v>
      </c>
      <c r="F1083" t="s">
        <v>39</v>
      </c>
      <c r="G1083" t="s">
        <v>87</v>
      </c>
      <c r="H1083">
        <v>1</v>
      </c>
      <c r="I1083">
        <v>5450</v>
      </c>
      <c r="J1083" t="s">
        <v>18</v>
      </c>
      <c r="K1083" t="s">
        <v>19</v>
      </c>
      <c r="L1083" s="5">
        <f t="shared" si="16"/>
        <v>5450</v>
      </c>
    </row>
    <row r="1084" spans="1:12" x14ac:dyDescent="0.3">
      <c r="A1084" t="s">
        <v>1552</v>
      </c>
      <c r="B1084" t="s">
        <v>872</v>
      </c>
      <c r="C1084" s="2">
        <v>45897</v>
      </c>
      <c r="D1084" t="s">
        <v>64</v>
      </c>
      <c r="E1084" t="s">
        <v>93</v>
      </c>
      <c r="F1084" t="s">
        <v>59</v>
      </c>
      <c r="G1084" t="s">
        <v>60</v>
      </c>
      <c r="H1084">
        <v>2</v>
      </c>
      <c r="I1084">
        <v>950</v>
      </c>
      <c r="J1084" t="s">
        <v>18</v>
      </c>
      <c r="K1084" t="s">
        <v>19</v>
      </c>
      <c r="L1084" s="5">
        <f t="shared" si="16"/>
        <v>1900</v>
      </c>
    </row>
    <row r="1085" spans="1:12" x14ac:dyDescent="0.3">
      <c r="A1085" t="s">
        <v>1553</v>
      </c>
      <c r="B1085" t="s">
        <v>583</v>
      </c>
      <c r="C1085" s="2">
        <v>45671</v>
      </c>
      <c r="D1085" t="s">
        <v>33</v>
      </c>
      <c r="E1085" t="s">
        <v>34</v>
      </c>
      <c r="F1085" t="s">
        <v>23</v>
      </c>
      <c r="G1085" t="s">
        <v>24</v>
      </c>
      <c r="H1085">
        <v>4</v>
      </c>
      <c r="I1085">
        <v>32350</v>
      </c>
      <c r="J1085" t="s">
        <v>41</v>
      </c>
      <c r="K1085" t="s">
        <v>19</v>
      </c>
      <c r="L1085" s="5">
        <f t="shared" si="16"/>
        <v>129400</v>
      </c>
    </row>
    <row r="1086" spans="1:12" x14ac:dyDescent="0.3">
      <c r="A1086" t="s">
        <v>1554</v>
      </c>
      <c r="B1086" t="s">
        <v>1381</v>
      </c>
      <c r="C1086" s="2">
        <v>45740</v>
      </c>
      <c r="D1086" t="s">
        <v>64</v>
      </c>
      <c r="E1086" t="s">
        <v>93</v>
      </c>
      <c r="F1086" t="s">
        <v>16</v>
      </c>
      <c r="G1086" t="s">
        <v>134</v>
      </c>
      <c r="H1086">
        <v>1</v>
      </c>
      <c r="I1086">
        <v>7900</v>
      </c>
      <c r="J1086" t="s">
        <v>61</v>
      </c>
      <c r="K1086" t="s">
        <v>19</v>
      </c>
      <c r="L1086" s="5">
        <f t="shared" si="16"/>
        <v>7900</v>
      </c>
    </row>
    <row r="1087" spans="1:12" x14ac:dyDescent="0.3">
      <c r="A1087" t="s">
        <v>1555</v>
      </c>
      <c r="B1087" t="s">
        <v>1556</v>
      </c>
      <c r="C1087" s="2">
        <v>45668</v>
      </c>
      <c r="D1087" t="s">
        <v>33</v>
      </c>
      <c r="E1087" t="s">
        <v>68</v>
      </c>
      <c r="F1087" t="s">
        <v>39</v>
      </c>
      <c r="G1087" t="s">
        <v>44</v>
      </c>
      <c r="H1087">
        <v>1</v>
      </c>
      <c r="I1087">
        <v>4650</v>
      </c>
      <c r="J1087" t="s">
        <v>18</v>
      </c>
      <c r="K1087" t="s">
        <v>19</v>
      </c>
      <c r="L1087" s="5">
        <f t="shared" si="16"/>
        <v>4650</v>
      </c>
    </row>
    <row r="1088" spans="1:12" x14ac:dyDescent="0.3">
      <c r="A1088" t="s">
        <v>1557</v>
      </c>
      <c r="B1088" t="s">
        <v>1558</v>
      </c>
      <c r="C1088" s="2">
        <v>46014</v>
      </c>
      <c r="D1088" t="s">
        <v>14</v>
      </c>
      <c r="E1088" t="s">
        <v>22</v>
      </c>
      <c r="F1088" t="s">
        <v>29</v>
      </c>
      <c r="G1088" t="s">
        <v>184</v>
      </c>
      <c r="H1088">
        <v>2</v>
      </c>
      <c r="I1088">
        <v>2050</v>
      </c>
      <c r="J1088" t="s">
        <v>35</v>
      </c>
      <c r="K1088" t="s">
        <v>19</v>
      </c>
      <c r="L1088" s="5">
        <f t="shared" si="16"/>
        <v>4100</v>
      </c>
    </row>
    <row r="1089" spans="1:12" x14ac:dyDescent="0.3">
      <c r="A1089" t="s">
        <v>1559</v>
      </c>
      <c r="B1089" t="s">
        <v>880</v>
      </c>
      <c r="C1089" s="2">
        <v>45897</v>
      </c>
      <c r="D1089" t="s">
        <v>14</v>
      </c>
      <c r="E1089" t="s">
        <v>15</v>
      </c>
      <c r="F1089" t="s">
        <v>59</v>
      </c>
      <c r="G1089" t="s">
        <v>228</v>
      </c>
      <c r="H1089">
        <v>5</v>
      </c>
      <c r="I1089">
        <v>1550</v>
      </c>
      <c r="J1089" t="s">
        <v>61</v>
      </c>
      <c r="K1089" t="s">
        <v>19</v>
      </c>
      <c r="L1089" s="5">
        <f t="shared" si="16"/>
        <v>7750</v>
      </c>
    </row>
    <row r="1090" spans="1:12" x14ac:dyDescent="0.3">
      <c r="A1090" t="s">
        <v>1560</v>
      </c>
      <c r="B1090" t="s">
        <v>608</v>
      </c>
      <c r="C1090" s="2">
        <v>45831</v>
      </c>
      <c r="D1090" t="s">
        <v>46</v>
      </c>
      <c r="E1090" t="s">
        <v>75</v>
      </c>
      <c r="F1090" t="s">
        <v>59</v>
      </c>
      <c r="G1090" t="s">
        <v>322</v>
      </c>
      <c r="H1090">
        <v>3</v>
      </c>
      <c r="I1090">
        <v>3150</v>
      </c>
      <c r="J1090" t="s">
        <v>41</v>
      </c>
      <c r="K1090" t="s">
        <v>19</v>
      </c>
      <c r="L1090" s="5">
        <f t="shared" si="16"/>
        <v>9450</v>
      </c>
    </row>
    <row r="1091" spans="1:12" x14ac:dyDescent="0.3">
      <c r="A1091" t="s">
        <v>1561</v>
      </c>
      <c r="B1091" t="s">
        <v>95</v>
      </c>
      <c r="C1091" s="2">
        <v>45693</v>
      </c>
      <c r="D1091" t="s">
        <v>33</v>
      </c>
      <c r="E1091" t="s">
        <v>68</v>
      </c>
      <c r="F1091" t="s">
        <v>16</v>
      </c>
      <c r="G1091" t="s">
        <v>143</v>
      </c>
      <c r="H1091">
        <v>2</v>
      </c>
      <c r="I1091">
        <v>6100</v>
      </c>
      <c r="J1091" t="s">
        <v>18</v>
      </c>
      <c r="K1091" t="s">
        <v>19</v>
      </c>
      <c r="L1091" s="5">
        <f t="shared" ref="L1091:L1154" si="17">H1091*I1091</f>
        <v>12200</v>
      </c>
    </row>
    <row r="1092" spans="1:12" x14ac:dyDescent="0.3">
      <c r="A1092" t="s">
        <v>1562</v>
      </c>
      <c r="B1092" t="s">
        <v>565</v>
      </c>
      <c r="C1092" s="2">
        <v>45674</v>
      </c>
      <c r="D1092" t="s">
        <v>46</v>
      </c>
      <c r="E1092" t="s">
        <v>55</v>
      </c>
      <c r="F1092" t="s">
        <v>59</v>
      </c>
      <c r="G1092" t="s">
        <v>163</v>
      </c>
      <c r="H1092">
        <v>1</v>
      </c>
      <c r="I1092">
        <v>500</v>
      </c>
      <c r="J1092" t="s">
        <v>35</v>
      </c>
      <c r="K1092" t="s">
        <v>19</v>
      </c>
      <c r="L1092" s="5">
        <f t="shared" si="17"/>
        <v>500</v>
      </c>
    </row>
    <row r="1093" spans="1:12" x14ac:dyDescent="0.3">
      <c r="A1093" t="s">
        <v>1563</v>
      </c>
      <c r="B1093" t="s">
        <v>162</v>
      </c>
      <c r="C1093" s="2">
        <v>45976</v>
      </c>
      <c r="D1093" t="s">
        <v>14</v>
      </c>
      <c r="E1093" t="s">
        <v>22</v>
      </c>
      <c r="F1093" t="s">
        <v>16</v>
      </c>
      <c r="G1093" t="s">
        <v>134</v>
      </c>
      <c r="H1093">
        <v>2</v>
      </c>
      <c r="I1093">
        <v>6500</v>
      </c>
      <c r="J1093" t="s">
        <v>61</v>
      </c>
      <c r="K1093" t="s">
        <v>19</v>
      </c>
      <c r="L1093" s="5">
        <f t="shared" si="17"/>
        <v>13000</v>
      </c>
    </row>
    <row r="1094" spans="1:12" x14ac:dyDescent="0.3">
      <c r="A1094" t="s">
        <v>1564</v>
      </c>
      <c r="B1094" t="s">
        <v>774</v>
      </c>
      <c r="C1094" s="2">
        <v>45775</v>
      </c>
      <c r="D1094" t="s">
        <v>14</v>
      </c>
      <c r="E1094" t="s">
        <v>15</v>
      </c>
      <c r="F1094" t="s">
        <v>16</v>
      </c>
      <c r="G1094" t="s">
        <v>81</v>
      </c>
      <c r="H1094">
        <v>3</v>
      </c>
      <c r="I1094">
        <v>2100</v>
      </c>
      <c r="J1094" t="s">
        <v>35</v>
      </c>
      <c r="K1094" t="s">
        <v>19</v>
      </c>
      <c r="L1094" s="5">
        <f t="shared" si="17"/>
        <v>6300</v>
      </c>
    </row>
    <row r="1095" spans="1:12" x14ac:dyDescent="0.3">
      <c r="A1095" t="s">
        <v>1565</v>
      </c>
      <c r="B1095" t="s">
        <v>458</v>
      </c>
      <c r="C1095" s="2">
        <v>45942</v>
      </c>
      <c r="D1095" t="s">
        <v>14</v>
      </c>
      <c r="E1095" t="s">
        <v>22</v>
      </c>
      <c r="F1095" t="s">
        <v>39</v>
      </c>
      <c r="G1095" t="s">
        <v>87</v>
      </c>
      <c r="H1095">
        <v>1</v>
      </c>
      <c r="I1095">
        <v>9100</v>
      </c>
      <c r="J1095" t="s">
        <v>41</v>
      </c>
      <c r="K1095" t="s">
        <v>69</v>
      </c>
      <c r="L1095" s="5">
        <f t="shared" si="17"/>
        <v>9100</v>
      </c>
    </row>
    <row r="1096" spans="1:12" x14ac:dyDescent="0.3">
      <c r="A1096" t="s">
        <v>1566</v>
      </c>
      <c r="B1096" t="s">
        <v>207</v>
      </c>
      <c r="C1096" s="2">
        <v>45746</v>
      </c>
      <c r="D1096" t="s">
        <v>14</v>
      </c>
      <c r="E1096" t="s">
        <v>15</v>
      </c>
      <c r="F1096" t="s">
        <v>23</v>
      </c>
      <c r="G1096" t="s">
        <v>137</v>
      </c>
      <c r="H1096">
        <v>2</v>
      </c>
      <c r="I1096">
        <v>11900</v>
      </c>
      <c r="J1096" t="s">
        <v>35</v>
      </c>
      <c r="K1096" t="s">
        <v>19</v>
      </c>
      <c r="L1096" s="5">
        <f t="shared" si="17"/>
        <v>23800</v>
      </c>
    </row>
    <row r="1097" spans="1:12" x14ac:dyDescent="0.3">
      <c r="A1097" t="s">
        <v>1567</v>
      </c>
      <c r="B1097" t="s">
        <v>739</v>
      </c>
      <c r="C1097" s="2">
        <v>45875</v>
      </c>
      <c r="D1097" t="s">
        <v>14</v>
      </c>
      <c r="E1097" t="s">
        <v>28</v>
      </c>
      <c r="F1097" t="s">
        <v>16</v>
      </c>
      <c r="G1097" t="s">
        <v>81</v>
      </c>
      <c r="H1097">
        <v>3</v>
      </c>
      <c r="I1097">
        <v>5550</v>
      </c>
      <c r="J1097" t="s">
        <v>18</v>
      </c>
      <c r="K1097" t="s">
        <v>19</v>
      </c>
      <c r="L1097" s="5">
        <f t="shared" si="17"/>
        <v>16650</v>
      </c>
    </row>
    <row r="1098" spans="1:12" x14ac:dyDescent="0.3">
      <c r="A1098" t="s">
        <v>1568</v>
      </c>
      <c r="B1098" t="s">
        <v>772</v>
      </c>
      <c r="C1098" s="2">
        <v>45955</v>
      </c>
      <c r="D1098" t="s">
        <v>14</v>
      </c>
      <c r="E1098" t="s">
        <v>51</v>
      </c>
      <c r="F1098" t="s">
        <v>23</v>
      </c>
      <c r="G1098" t="s">
        <v>56</v>
      </c>
      <c r="H1098">
        <v>3</v>
      </c>
      <c r="I1098">
        <v>51400</v>
      </c>
      <c r="J1098" t="s">
        <v>18</v>
      </c>
      <c r="K1098" t="s">
        <v>127</v>
      </c>
      <c r="L1098" s="5">
        <f t="shared" si="17"/>
        <v>154200</v>
      </c>
    </row>
    <row r="1099" spans="1:12" x14ac:dyDescent="0.3">
      <c r="A1099" t="s">
        <v>1569</v>
      </c>
      <c r="B1099" t="s">
        <v>1570</v>
      </c>
      <c r="C1099" s="2">
        <v>45710</v>
      </c>
      <c r="D1099" t="s">
        <v>33</v>
      </c>
      <c r="E1099" t="s">
        <v>80</v>
      </c>
      <c r="F1099" t="s">
        <v>29</v>
      </c>
      <c r="G1099" t="s">
        <v>96</v>
      </c>
      <c r="H1099">
        <v>1</v>
      </c>
      <c r="I1099">
        <v>1850</v>
      </c>
      <c r="J1099" t="s">
        <v>41</v>
      </c>
      <c r="K1099" t="s">
        <v>19</v>
      </c>
      <c r="L1099" s="5">
        <f t="shared" si="17"/>
        <v>1850</v>
      </c>
    </row>
    <row r="1100" spans="1:12" x14ac:dyDescent="0.3">
      <c r="A1100" t="s">
        <v>1571</v>
      </c>
      <c r="B1100" t="s">
        <v>1572</v>
      </c>
      <c r="C1100" s="2">
        <v>45700</v>
      </c>
      <c r="D1100" t="s">
        <v>64</v>
      </c>
      <c r="E1100" t="s">
        <v>65</v>
      </c>
      <c r="F1100" t="s">
        <v>59</v>
      </c>
      <c r="G1100" t="s">
        <v>228</v>
      </c>
      <c r="H1100">
        <v>1</v>
      </c>
      <c r="I1100">
        <v>4350</v>
      </c>
      <c r="J1100" t="s">
        <v>35</v>
      </c>
      <c r="K1100" t="s">
        <v>19</v>
      </c>
      <c r="L1100" s="5">
        <f t="shared" si="17"/>
        <v>4350</v>
      </c>
    </row>
    <row r="1101" spans="1:12" x14ac:dyDescent="0.3">
      <c r="A1101" t="s">
        <v>1573</v>
      </c>
      <c r="B1101" t="s">
        <v>1069</v>
      </c>
      <c r="C1101" s="2">
        <v>45728</v>
      </c>
      <c r="D1101" t="s">
        <v>46</v>
      </c>
      <c r="E1101" t="s">
        <v>55</v>
      </c>
      <c r="F1101" t="s">
        <v>29</v>
      </c>
      <c r="G1101" t="s">
        <v>96</v>
      </c>
      <c r="H1101">
        <v>1</v>
      </c>
      <c r="I1101">
        <v>600</v>
      </c>
      <c r="J1101" t="s">
        <v>115</v>
      </c>
      <c r="K1101" t="s">
        <v>19</v>
      </c>
      <c r="L1101" s="5">
        <f t="shared" si="17"/>
        <v>600</v>
      </c>
    </row>
    <row r="1102" spans="1:12" x14ac:dyDescent="0.3">
      <c r="A1102" t="s">
        <v>1574</v>
      </c>
      <c r="B1102" t="s">
        <v>731</v>
      </c>
      <c r="C1102" s="2">
        <v>45905</v>
      </c>
      <c r="D1102" t="s">
        <v>64</v>
      </c>
      <c r="E1102" t="s">
        <v>86</v>
      </c>
      <c r="F1102" t="s">
        <v>39</v>
      </c>
      <c r="G1102" t="s">
        <v>87</v>
      </c>
      <c r="H1102">
        <v>4</v>
      </c>
      <c r="I1102">
        <v>5700</v>
      </c>
      <c r="J1102" t="s">
        <v>115</v>
      </c>
      <c r="K1102" t="s">
        <v>19</v>
      </c>
      <c r="L1102" s="5">
        <f t="shared" si="17"/>
        <v>22800</v>
      </c>
    </row>
    <row r="1103" spans="1:12" x14ac:dyDescent="0.3">
      <c r="A1103" t="s">
        <v>1575</v>
      </c>
      <c r="B1103" t="s">
        <v>731</v>
      </c>
      <c r="C1103" s="2">
        <v>45916</v>
      </c>
      <c r="D1103" t="s">
        <v>64</v>
      </c>
      <c r="E1103" t="s">
        <v>86</v>
      </c>
      <c r="F1103" t="s">
        <v>16</v>
      </c>
      <c r="G1103" t="s">
        <v>143</v>
      </c>
      <c r="H1103">
        <v>2</v>
      </c>
      <c r="I1103">
        <v>4300</v>
      </c>
      <c r="J1103" t="s">
        <v>18</v>
      </c>
      <c r="K1103" t="s">
        <v>19</v>
      </c>
      <c r="L1103" s="5">
        <f t="shared" si="17"/>
        <v>8600</v>
      </c>
    </row>
    <row r="1104" spans="1:12" x14ac:dyDescent="0.3">
      <c r="A1104" t="s">
        <v>1576</v>
      </c>
      <c r="B1104" t="s">
        <v>930</v>
      </c>
      <c r="C1104" s="2">
        <v>46002</v>
      </c>
      <c r="D1104" t="s">
        <v>14</v>
      </c>
      <c r="E1104" t="s">
        <v>51</v>
      </c>
      <c r="F1104" t="s">
        <v>29</v>
      </c>
      <c r="G1104" t="s">
        <v>100</v>
      </c>
      <c r="H1104">
        <v>1</v>
      </c>
      <c r="I1104">
        <v>3500</v>
      </c>
      <c r="J1104" t="s">
        <v>41</v>
      </c>
      <c r="K1104" t="s">
        <v>19</v>
      </c>
      <c r="L1104" s="5">
        <f t="shared" si="17"/>
        <v>3500</v>
      </c>
    </row>
    <row r="1105" spans="1:12" x14ac:dyDescent="0.3">
      <c r="A1105" t="s">
        <v>1577</v>
      </c>
      <c r="B1105" t="s">
        <v>777</v>
      </c>
      <c r="C1105" s="2">
        <v>46015</v>
      </c>
      <c r="D1105" t="s">
        <v>64</v>
      </c>
      <c r="E1105" t="s">
        <v>86</v>
      </c>
      <c r="F1105" t="s">
        <v>59</v>
      </c>
      <c r="G1105" t="s">
        <v>228</v>
      </c>
      <c r="H1105">
        <v>3</v>
      </c>
      <c r="I1105">
        <v>1650</v>
      </c>
      <c r="J1105" t="s">
        <v>35</v>
      </c>
      <c r="K1105" t="s">
        <v>19</v>
      </c>
      <c r="L1105" s="5">
        <f t="shared" si="17"/>
        <v>4950</v>
      </c>
    </row>
    <row r="1106" spans="1:12" x14ac:dyDescent="0.3">
      <c r="A1106" t="s">
        <v>1578</v>
      </c>
      <c r="B1106" t="s">
        <v>326</v>
      </c>
      <c r="C1106" s="2">
        <v>45870</v>
      </c>
      <c r="D1106" t="s">
        <v>14</v>
      </c>
      <c r="E1106" t="s">
        <v>22</v>
      </c>
      <c r="F1106" t="s">
        <v>39</v>
      </c>
      <c r="G1106" t="s">
        <v>52</v>
      </c>
      <c r="H1106">
        <v>1</v>
      </c>
      <c r="I1106">
        <v>6050</v>
      </c>
      <c r="J1106" t="s">
        <v>115</v>
      </c>
      <c r="K1106" t="s">
        <v>19</v>
      </c>
      <c r="L1106" s="5">
        <f t="shared" si="17"/>
        <v>6050</v>
      </c>
    </row>
    <row r="1107" spans="1:12" x14ac:dyDescent="0.3">
      <c r="A1107" t="s">
        <v>1579</v>
      </c>
      <c r="B1107" t="s">
        <v>932</v>
      </c>
      <c r="C1107" s="2">
        <v>45999</v>
      </c>
      <c r="D1107" t="s">
        <v>14</v>
      </c>
      <c r="E1107" t="s">
        <v>51</v>
      </c>
      <c r="F1107" t="s">
        <v>39</v>
      </c>
      <c r="G1107" t="s">
        <v>40</v>
      </c>
      <c r="H1107">
        <v>1</v>
      </c>
      <c r="I1107">
        <v>8300</v>
      </c>
      <c r="J1107" t="s">
        <v>35</v>
      </c>
      <c r="K1107" t="s">
        <v>19</v>
      </c>
      <c r="L1107" s="5">
        <f t="shared" si="17"/>
        <v>8300</v>
      </c>
    </row>
    <row r="1108" spans="1:12" x14ac:dyDescent="0.3">
      <c r="A1108" t="s">
        <v>1580</v>
      </c>
      <c r="B1108" t="s">
        <v>227</v>
      </c>
      <c r="C1108" s="2">
        <v>45997</v>
      </c>
      <c r="D1108" t="s">
        <v>14</v>
      </c>
      <c r="E1108" t="s">
        <v>15</v>
      </c>
      <c r="F1108" t="s">
        <v>59</v>
      </c>
      <c r="G1108" t="s">
        <v>228</v>
      </c>
      <c r="H1108">
        <v>1</v>
      </c>
      <c r="I1108">
        <v>2400</v>
      </c>
      <c r="J1108" t="s">
        <v>35</v>
      </c>
      <c r="K1108" t="s">
        <v>19</v>
      </c>
      <c r="L1108" s="5">
        <f t="shared" si="17"/>
        <v>2400</v>
      </c>
    </row>
    <row r="1109" spans="1:12" x14ac:dyDescent="0.3">
      <c r="A1109" t="s">
        <v>1581</v>
      </c>
      <c r="B1109" t="s">
        <v>571</v>
      </c>
      <c r="C1109" s="2">
        <v>45807</v>
      </c>
      <c r="D1109" t="s">
        <v>46</v>
      </c>
      <c r="E1109" t="s">
        <v>47</v>
      </c>
      <c r="F1109" t="s">
        <v>23</v>
      </c>
      <c r="G1109" t="s">
        <v>140</v>
      </c>
      <c r="H1109">
        <v>1</v>
      </c>
      <c r="I1109">
        <v>9350</v>
      </c>
      <c r="J1109" t="s">
        <v>35</v>
      </c>
      <c r="K1109" t="s">
        <v>69</v>
      </c>
      <c r="L1109" s="5">
        <f t="shared" si="17"/>
        <v>9350</v>
      </c>
    </row>
    <row r="1110" spans="1:12" x14ac:dyDescent="0.3">
      <c r="A1110" t="s">
        <v>1582</v>
      </c>
      <c r="B1110" t="s">
        <v>382</v>
      </c>
      <c r="C1110" s="2">
        <v>45693</v>
      </c>
      <c r="D1110" t="s">
        <v>14</v>
      </c>
      <c r="E1110" t="s">
        <v>22</v>
      </c>
      <c r="F1110" t="s">
        <v>16</v>
      </c>
      <c r="G1110" t="s">
        <v>134</v>
      </c>
      <c r="H1110">
        <v>3</v>
      </c>
      <c r="I1110">
        <v>3600</v>
      </c>
      <c r="J1110" t="s">
        <v>35</v>
      </c>
      <c r="K1110" t="s">
        <v>19</v>
      </c>
      <c r="L1110" s="5">
        <f t="shared" si="17"/>
        <v>10800</v>
      </c>
    </row>
    <row r="1111" spans="1:12" x14ac:dyDescent="0.3">
      <c r="A1111" t="s">
        <v>1583</v>
      </c>
      <c r="B1111" t="s">
        <v>1193</v>
      </c>
      <c r="C1111" s="2">
        <v>45673</v>
      </c>
      <c r="D1111" t="s">
        <v>33</v>
      </c>
      <c r="E1111" t="s">
        <v>80</v>
      </c>
      <c r="F1111" t="s">
        <v>59</v>
      </c>
      <c r="G1111" t="s">
        <v>228</v>
      </c>
      <c r="H1111">
        <v>4</v>
      </c>
      <c r="I1111">
        <v>4800</v>
      </c>
      <c r="J1111" t="s">
        <v>61</v>
      </c>
      <c r="K1111" t="s">
        <v>19</v>
      </c>
      <c r="L1111" s="5">
        <f t="shared" si="17"/>
        <v>19200</v>
      </c>
    </row>
    <row r="1112" spans="1:12" x14ac:dyDescent="0.3">
      <c r="A1112" t="s">
        <v>1584</v>
      </c>
      <c r="B1112" t="s">
        <v>833</v>
      </c>
      <c r="C1112" s="2">
        <v>45958</v>
      </c>
      <c r="D1112" t="s">
        <v>14</v>
      </c>
      <c r="E1112" t="s">
        <v>22</v>
      </c>
      <c r="F1112" t="s">
        <v>16</v>
      </c>
      <c r="G1112" t="s">
        <v>143</v>
      </c>
      <c r="H1112">
        <v>2</v>
      </c>
      <c r="I1112">
        <v>5450</v>
      </c>
      <c r="J1112" t="s">
        <v>41</v>
      </c>
      <c r="K1112" t="s">
        <v>19</v>
      </c>
      <c r="L1112" s="5">
        <f t="shared" si="17"/>
        <v>10900</v>
      </c>
    </row>
    <row r="1113" spans="1:12" x14ac:dyDescent="0.3">
      <c r="A1113" t="s">
        <v>1585</v>
      </c>
      <c r="B1113" t="s">
        <v>1586</v>
      </c>
      <c r="C1113" s="2">
        <v>45856</v>
      </c>
      <c r="D1113" t="s">
        <v>14</v>
      </c>
      <c r="E1113" t="s">
        <v>22</v>
      </c>
      <c r="F1113" t="s">
        <v>29</v>
      </c>
      <c r="G1113" t="s">
        <v>96</v>
      </c>
      <c r="H1113">
        <v>2</v>
      </c>
      <c r="I1113">
        <v>450</v>
      </c>
      <c r="J1113" t="s">
        <v>18</v>
      </c>
      <c r="K1113" t="s">
        <v>19</v>
      </c>
      <c r="L1113" s="5">
        <f t="shared" si="17"/>
        <v>900</v>
      </c>
    </row>
    <row r="1114" spans="1:12" x14ac:dyDescent="0.3">
      <c r="A1114" t="s">
        <v>1587</v>
      </c>
      <c r="B1114" t="s">
        <v>1502</v>
      </c>
      <c r="C1114" s="2">
        <v>45952</v>
      </c>
      <c r="D1114" t="s">
        <v>14</v>
      </c>
      <c r="E1114" t="s">
        <v>28</v>
      </c>
      <c r="F1114" t="s">
        <v>16</v>
      </c>
      <c r="G1114" t="s">
        <v>17</v>
      </c>
      <c r="H1114">
        <v>2</v>
      </c>
      <c r="I1114">
        <v>2850</v>
      </c>
      <c r="J1114" t="s">
        <v>18</v>
      </c>
      <c r="K1114" t="s">
        <v>127</v>
      </c>
      <c r="L1114" s="5">
        <f t="shared" si="17"/>
        <v>5700</v>
      </c>
    </row>
    <row r="1115" spans="1:12" x14ac:dyDescent="0.3">
      <c r="A1115" t="s">
        <v>1588</v>
      </c>
      <c r="B1115" t="s">
        <v>932</v>
      </c>
      <c r="C1115" s="2">
        <v>45822</v>
      </c>
      <c r="D1115" t="s">
        <v>46</v>
      </c>
      <c r="E1115" t="s">
        <v>75</v>
      </c>
      <c r="F1115" t="s">
        <v>23</v>
      </c>
      <c r="G1115" t="s">
        <v>24</v>
      </c>
      <c r="H1115">
        <v>1</v>
      </c>
      <c r="I1115">
        <v>40300</v>
      </c>
      <c r="J1115" t="s">
        <v>115</v>
      </c>
      <c r="K1115" t="s">
        <v>25</v>
      </c>
      <c r="L1115" s="5">
        <f t="shared" si="17"/>
        <v>40300</v>
      </c>
    </row>
    <row r="1116" spans="1:12" x14ac:dyDescent="0.3">
      <c r="A1116" t="s">
        <v>1589</v>
      </c>
      <c r="B1116" t="s">
        <v>701</v>
      </c>
      <c r="C1116" s="2">
        <v>45866</v>
      </c>
      <c r="D1116" t="s">
        <v>14</v>
      </c>
      <c r="E1116" t="s">
        <v>28</v>
      </c>
      <c r="F1116" t="s">
        <v>39</v>
      </c>
      <c r="G1116" t="s">
        <v>40</v>
      </c>
      <c r="H1116">
        <v>2</v>
      </c>
      <c r="I1116">
        <v>2000</v>
      </c>
      <c r="J1116" t="s">
        <v>41</v>
      </c>
      <c r="K1116" t="s">
        <v>19</v>
      </c>
      <c r="L1116" s="5">
        <f t="shared" si="17"/>
        <v>4000</v>
      </c>
    </row>
    <row r="1117" spans="1:12" x14ac:dyDescent="0.3">
      <c r="A1117" t="s">
        <v>1590</v>
      </c>
      <c r="B1117" t="s">
        <v>906</v>
      </c>
      <c r="C1117" s="2">
        <v>45704</v>
      </c>
      <c r="D1117" t="s">
        <v>14</v>
      </c>
      <c r="E1117" t="s">
        <v>51</v>
      </c>
      <c r="F1117" t="s">
        <v>29</v>
      </c>
      <c r="G1117" t="s">
        <v>96</v>
      </c>
      <c r="H1117">
        <v>2</v>
      </c>
      <c r="I1117">
        <v>5850</v>
      </c>
      <c r="J1117" t="s">
        <v>41</v>
      </c>
      <c r="K1117" t="s">
        <v>19</v>
      </c>
      <c r="L1117" s="5">
        <f t="shared" si="17"/>
        <v>11700</v>
      </c>
    </row>
    <row r="1118" spans="1:12" x14ac:dyDescent="0.3">
      <c r="A1118" t="s">
        <v>1591</v>
      </c>
      <c r="B1118" t="s">
        <v>675</v>
      </c>
      <c r="C1118" s="2">
        <v>45947</v>
      </c>
      <c r="D1118" t="s">
        <v>14</v>
      </c>
      <c r="E1118" t="s">
        <v>22</v>
      </c>
      <c r="F1118" t="s">
        <v>39</v>
      </c>
      <c r="G1118" t="s">
        <v>87</v>
      </c>
      <c r="H1118">
        <v>3</v>
      </c>
      <c r="I1118">
        <v>4900</v>
      </c>
      <c r="J1118" t="s">
        <v>18</v>
      </c>
      <c r="K1118" t="s">
        <v>25</v>
      </c>
      <c r="L1118" s="5">
        <f t="shared" si="17"/>
        <v>14700</v>
      </c>
    </row>
    <row r="1119" spans="1:12" x14ac:dyDescent="0.3">
      <c r="A1119" t="s">
        <v>1592</v>
      </c>
      <c r="B1119" t="s">
        <v>392</v>
      </c>
      <c r="C1119" s="2">
        <v>45961</v>
      </c>
      <c r="D1119" t="s">
        <v>14</v>
      </c>
      <c r="E1119" t="s">
        <v>28</v>
      </c>
      <c r="F1119" t="s">
        <v>23</v>
      </c>
      <c r="G1119" t="s">
        <v>140</v>
      </c>
      <c r="H1119">
        <v>1</v>
      </c>
      <c r="I1119">
        <v>15200</v>
      </c>
      <c r="J1119" t="s">
        <v>35</v>
      </c>
      <c r="K1119" t="s">
        <v>19</v>
      </c>
      <c r="L1119" s="5">
        <f t="shared" si="17"/>
        <v>15200</v>
      </c>
    </row>
    <row r="1120" spans="1:12" x14ac:dyDescent="0.3">
      <c r="A1120" t="s">
        <v>1593</v>
      </c>
      <c r="B1120" t="s">
        <v>1594</v>
      </c>
      <c r="C1120" s="2">
        <v>45743</v>
      </c>
      <c r="D1120" t="s">
        <v>14</v>
      </c>
      <c r="E1120" t="s">
        <v>28</v>
      </c>
      <c r="F1120" t="s">
        <v>29</v>
      </c>
      <c r="G1120" t="s">
        <v>96</v>
      </c>
      <c r="H1120">
        <v>1</v>
      </c>
      <c r="I1120">
        <v>3050</v>
      </c>
      <c r="J1120" t="s">
        <v>18</v>
      </c>
      <c r="K1120" t="s">
        <v>19</v>
      </c>
      <c r="L1120" s="5">
        <f t="shared" si="17"/>
        <v>3050</v>
      </c>
    </row>
    <row r="1121" spans="1:12" x14ac:dyDescent="0.3">
      <c r="A1121" t="s">
        <v>1595</v>
      </c>
      <c r="B1121" t="s">
        <v>1354</v>
      </c>
      <c r="C1121" s="2">
        <v>45750</v>
      </c>
      <c r="D1121" t="s">
        <v>46</v>
      </c>
      <c r="E1121" t="s">
        <v>72</v>
      </c>
      <c r="F1121" t="s">
        <v>16</v>
      </c>
      <c r="G1121" t="s">
        <v>134</v>
      </c>
      <c r="H1121">
        <v>1</v>
      </c>
      <c r="I1121">
        <v>6400</v>
      </c>
      <c r="J1121" t="s">
        <v>18</v>
      </c>
      <c r="K1121" t="s">
        <v>69</v>
      </c>
      <c r="L1121" s="5">
        <f t="shared" si="17"/>
        <v>6400</v>
      </c>
    </row>
    <row r="1122" spans="1:12" x14ac:dyDescent="0.3">
      <c r="A1122" t="s">
        <v>1596</v>
      </c>
      <c r="B1122" t="s">
        <v>551</v>
      </c>
      <c r="C1122" s="2">
        <v>45806</v>
      </c>
      <c r="D1122" t="s">
        <v>33</v>
      </c>
      <c r="E1122" t="s">
        <v>80</v>
      </c>
      <c r="F1122" t="s">
        <v>29</v>
      </c>
      <c r="G1122" t="s">
        <v>30</v>
      </c>
      <c r="H1122">
        <v>3</v>
      </c>
      <c r="I1122">
        <v>6400</v>
      </c>
      <c r="J1122" t="s">
        <v>61</v>
      </c>
      <c r="K1122" t="s">
        <v>19</v>
      </c>
      <c r="L1122" s="5">
        <f t="shared" si="17"/>
        <v>19200</v>
      </c>
    </row>
    <row r="1123" spans="1:12" x14ac:dyDescent="0.3">
      <c r="A1123" t="s">
        <v>1597</v>
      </c>
      <c r="B1123" t="s">
        <v>1222</v>
      </c>
      <c r="C1123" s="2">
        <v>45668</v>
      </c>
      <c r="D1123" t="s">
        <v>14</v>
      </c>
      <c r="E1123" t="s">
        <v>51</v>
      </c>
      <c r="F1123" t="s">
        <v>29</v>
      </c>
      <c r="G1123" t="s">
        <v>96</v>
      </c>
      <c r="H1123">
        <v>3</v>
      </c>
      <c r="I1123">
        <v>3750</v>
      </c>
      <c r="J1123" t="s">
        <v>41</v>
      </c>
      <c r="K1123" t="s">
        <v>19</v>
      </c>
      <c r="L1123" s="5">
        <f t="shared" si="17"/>
        <v>11250</v>
      </c>
    </row>
    <row r="1124" spans="1:12" x14ac:dyDescent="0.3">
      <c r="A1124" t="s">
        <v>1598</v>
      </c>
      <c r="B1124" t="s">
        <v>1599</v>
      </c>
      <c r="C1124" s="2">
        <v>45843</v>
      </c>
      <c r="D1124" t="s">
        <v>14</v>
      </c>
      <c r="E1124" t="s">
        <v>15</v>
      </c>
      <c r="F1124" t="s">
        <v>23</v>
      </c>
      <c r="G1124" t="s">
        <v>56</v>
      </c>
      <c r="H1124">
        <v>2</v>
      </c>
      <c r="I1124">
        <v>23350</v>
      </c>
      <c r="J1124" t="s">
        <v>18</v>
      </c>
      <c r="K1124" t="s">
        <v>19</v>
      </c>
      <c r="L1124" s="5">
        <f t="shared" si="17"/>
        <v>46700</v>
      </c>
    </row>
    <row r="1125" spans="1:12" x14ac:dyDescent="0.3">
      <c r="A1125" t="s">
        <v>1600</v>
      </c>
      <c r="B1125" t="s">
        <v>215</v>
      </c>
      <c r="C1125" s="2">
        <v>45935</v>
      </c>
      <c r="D1125" t="s">
        <v>14</v>
      </c>
      <c r="E1125" t="s">
        <v>51</v>
      </c>
      <c r="F1125" t="s">
        <v>39</v>
      </c>
      <c r="G1125" t="s">
        <v>87</v>
      </c>
      <c r="H1125">
        <v>1</v>
      </c>
      <c r="I1125">
        <v>1950</v>
      </c>
      <c r="J1125" t="s">
        <v>18</v>
      </c>
      <c r="K1125" t="s">
        <v>19</v>
      </c>
      <c r="L1125" s="5">
        <f t="shared" si="17"/>
        <v>1950</v>
      </c>
    </row>
    <row r="1126" spans="1:12" x14ac:dyDescent="0.3">
      <c r="A1126" t="s">
        <v>1601</v>
      </c>
      <c r="B1126" t="s">
        <v>181</v>
      </c>
      <c r="C1126" s="2">
        <v>45806</v>
      </c>
      <c r="D1126" t="s">
        <v>33</v>
      </c>
      <c r="E1126" t="s">
        <v>34</v>
      </c>
      <c r="F1126" t="s">
        <v>59</v>
      </c>
      <c r="G1126" t="s">
        <v>163</v>
      </c>
      <c r="H1126">
        <v>2</v>
      </c>
      <c r="I1126">
        <v>1300</v>
      </c>
      <c r="J1126" t="s">
        <v>35</v>
      </c>
      <c r="K1126" t="s">
        <v>19</v>
      </c>
      <c r="L1126" s="5">
        <f t="shared" si="17"/>
        <v>2600</v>
      </c>
    </row>
    <row r="1127" spans="1:12" x14ac:dyDescent="0.3">
      <c r="A1127" t="s">
        <v>1602</v>
      </c>
      <c r="B1127" t="s">
        <v>432</v>
      </c>
      <c r="C1127" s="2">
        <v>45992</v>
      </c>
      <c r="D1127" t="s">
        <v>33</v>
      </c>
      <c r="E1127" t="s">
        <v>80</v>
      </c>
      <c r="F1127" t="s">
        <v>16</v>
      </c>
      <c r="G1127" t="s">
        <v>81</v>
      </c>
      <c r="H1127">
        <v>3</v>
      </c>
      <c r="I1127">
        <v>4800</v>
      </c>
      <c r="J1127" t="s">
        <v>18</v>
      </c>
      <c r="K1127" t="s">
        <v>19</v>
      </c>
      <c r="L1127" s="5">
        <f t="shared" si="17"/>
        <v>14400</v>
      </c>
    </row>
    <row r="1128" spans="1:12" x14ac:dyDescent="0.3">
      <c r="A1128" t="s">
        <v>1603</v>
      </c>
      <c r="B1128" t="s">
        <v>483</v>
      </c>
      <c r="C1128" s="2">
        <v>45684</v>
      </c>
      <c r="D1128" t="s">
        <v>14</v>
      </c>
      <c r="E1128" t="s">
        <v>28</v>
      </c>
      <c r="F1128" t="s">
        <v>59</v>
      </c>
      <c r="G1128" t="s">
        <v>60</v>
      </c>
      <c r="H1128">
        <v>2</v>
      </c>
      <c r="I1128">
        <v>3750</v>
      </c>
      <c r="J1128" t="s">
        <v>18</v>
      </c>
      <c r="K1128" t="s">
        <v>69</v>
      </c>
      <c r="L1128" s="5">
        <f t="shared" si="17"/>
        <v>7500</v>
      </c>
    </row>
    <row r="1129" spans="1:12" x14ac:dyDescent="0.3">
      <c r="A1129" t="s">
        <v>1604</v>
      </c>
      <c r="B1129" t="s">
        <v>119</v>
      </c>
      <c r="C1129" s="2">
        <v>45772</v>
      </c>
      <c r="D1129" t="s">
        <v>64</v>
      </c>
      <c r="E1129" t="s">
        <v>86</v>
      </c>
      <c r="F1129" t="s">
        <v>39</v>
      </c>
      <c r="G1129" t="s">
        <v>146</v>
      </c>
      <c r="H1129">
        <v>2</v>
      </c>
      <c r="I1129">
        <v>9400</v>
      </c>
      <c r="J1129" t="s">
        <v>18</v>
      </c>
      <c r="K1129" t="s">
        <v>19</v>
      </c>
      <c r="L1129" s="5">
        <f t="shared" si="17"/>
        <v>18800</v>
      </c>
    </row>
    <row r="1130" spans="1:12" x14ac:dyDescent="0.3">
      <c r="A1130" t="s">
        <v>1605</v>
      </c>
      <c r="B1130" t="s">
        <v>816</v>
      </c>
      <c r="C1130" s="2">
        <v>45932</v>
      </c>
      <c r="D1130" t="s">
        <v>33</v>
      </c>
      <c r="E1130" t="s">
        <v>34</v>
      </c>
      <c r="F1130" t="s">
        <v>16</v>
      </c>
      <c r="G1130" t="s">
        <v>17</v>
      </c>
      <c r="H1130">
        <v>2</v>
      </c>
      <c r="I1130">
        <v>3150</v>
      </c>
      <c r="J1130" t="s">
        <v>61</v>
      </c>
      <c r="K1130" t="s">
        <v>19</v>
      </c>
      <c r="L1130" s="5">
        <f t="shared" si="17"/>
        <v>6300</v>
      </c>
    </row>
    <row r="1131" spans="1:12" x14ac:dyDescent="0.3">
      <c r="A1131" t="s">
        <v>1606</v>
      </c>
      <c r="B1131" t="s">
        <v>401</v>
      </c>
      <c r="C1131" s="2">
        <v>45835</v>
      </c>
      <c r="D1131" t="s">
        <v>14</v>
      </c>
      <c r="E1131" t="s">
        <v>28</v>
      </c>
      <c r="F1131" t="s">
        <v>39</v>
      </c>
      <c r="G1131" t="s">
        <v>40</v>
      </c>
      <c r="H1131">
        <v>1</v>
      </c>
      <c r="I1131">
        <v>9200</v>
      </c>
      <c r="J1131" t="s">
        <v>61</v>
      </c>
      <c r="K1131" t="s">
        <v>69</v>
      </c>
      <c r="L1131" s="5">
        <f t="shared" si="17"/>
        <v>9200</v>
      </c>
    </row>
    <row r="1132" spans="1:12" x14ac:dyDescent="0.3">
      <c r="A1132" t="s">
        <v>1607</v>
      </c>
      <c r="B1132" t="s">
        <v>223</v>
      </c>
      <c r="C1132" s="2">
        <v>45686</v>
      </c>
      <c r="D1132" t="s">
        <v>64</v>
      </c>
      <c r="E1132" t="s">
        <v>86</v>
      </c>
      <c r="F1132" t="s">
        <v>59</v>
      </c>
      <c r="G1132" t="s">
        <v>103</v>
      </c>
      <c r="H1132">
        <v>1</v>
      </c>
      <c r="I1132">
        <v>850</v>
      </c>
      <c r="J1132" t="s">
        <v>35</v>
      </c>
      <c r="K1132" t="s">
        <v>127</v>
      </c>
      <c r="L1132" s="5">
        <f t="shared" si="17"/>
        <v>850</v>
      </c>
    </row>
    <row r="1133" spans="1:12" x14ac:dyDescent="0.3">
      <c r="A1133" t="s">
        <v>1608</v>
      </c>
      <c r="B1133" t="s">
        <v>601</v>
      </c>
      <c r="C1133" s="2">
        <v>45832</v>
      </c>
      <c r="D1133" t="s">
        <v>33</v>
      </c>
      <c r="E1133" t="s">
        <v>80</v>
      </c>
      <c r="F1133" t="s">
        <v>29</v>
      </c>
      <c r="G1133" t="s">
        <v>184</v>
      </c>
      <c r="H1133">
        <v>1</v>
      </c>
      <c r="I1133">
        <v>1650</v>
      </c>
      <c r="J1133" t="s">
        <v>18</v>
      </c>
      <c r="K1133" t="s">
        <v>19</v>
      </c>
      <c r="L1133" s="5">
        <f t="shared" si="17"/>
        <v>1650</v>
      </c>
    </row>
    <row r="1134" spans="1:12" x14ac:dyDescent="0.3">
      <c r="A1134" t="s">
        <v>1609</v>
      </c>
      <c r="B1134" t="s">
        <v>352</v>
      </c>
      <c r="C1134" s="2">
        <v>45873</v>
      </c>
      <c r="D1134" t="s">
        <v>46</v>
      </c>
      <c r="E1134" t="s">
        <v>72</v>
      </c>
      <c r="F1134" t="s">
        <v>39</v>
      </c>
      <c r="G1134" t="s">
        <v>44</v>
      </c>
      <c r="H1134">
        <v>2</v>
      </c>
      <c r="I1134">
        <v>8250</v>
      </c>
      <c r="J1134" t="s">
        <v>18</v>
      </c>
      <c r="K1134" t="s">
        <v>19</v>
      </c>
      <c r="L1134" s="5">
        <f t="shared" si="17"/>
        <v>16500</v>
      </c>
    </row>
    <row r="1135" spans="1:12" x14ac:dyDescent="0.3">
      <c r="A1135" t="s">
        <v>1610</v>
      </c>
      <c r="B1135" t="s">
        <v>188</v>
      </c>
      <c r="C1135" s="2">
        <v>45990</v>
      </c>
      <c r="D1135" t="s">
        <v>14</v>
      </c>
      <c r="E1135" t="s">
        <v>28</v>
      </c>
      <c r="F1135" t="s">
        <v>16</v>
      </c>
      <c r="G1135" t="s">
        <v>48</v>
      </c>
      <c r="H1135">
        <v>1</v>
      </c>
      <c r="I1135">
        <v>5300</v>
      </c>
      <c r="J1135" t="s">
        <v>41</v>
      </c>
      <c r="K1135" t="s">
        <v>19</v>
      </c>
      <c r="L1135" s="5">
        <f t="shared" si="17"/>
        <v>5300</v>
      </c>
    </row>
    <row r="1136" spans="1:12" x14ac:dyDescent="0.3">
      <c r="A1136" t="s">
        <v>1611</v>
      </c>
      <c r="B1136" t="s">
        <v>920</v>
      </c>
      <c r="C1136" s="2">
        <v>45994</v>
      </c>
      <c r="D1136" t="s">
        <v>33</v>
      </c>
      <c r="E1136" t="s">
        <v>38</v>
      </c>
      <c r="F1136" t="s">
        <v>29</v>
      </c>
      <c r="G1136" t="s">
        <v>184</v>
      </c>
      <c r="H1136">
        <v>1</v>
      </c>
      <c r="I1136">
        <v>7600</v>
      </c>
      <c r="J1136" t="s">
        <v>41</v>
      </c>
      <c r="K1136" t="s">
        <v>19</v>
      </c>
      <c r="L1136" s="5">
        <f t="shared" si="17"/>
        <v>7600</v>
      </c>
    </row>
    <row r="1137" spans="1:12" x14ac:dyDescent="0.3">
      <c r="A1137" t="s">
        <v>1612</v>
      </c>
      <c r="B1137" t="s">
        <v>630</v>
      </c>
      <c r="C1137" s="2">
        <v>45898</v>
      </c>
      <c r="D1137" t="s">
        <v>14</v>
      </c>
      <c r="E1137" t="s">
        <v>28</v>
      </c>
      <c r="F1137" t="s">
        <v>23</v>
      </c>
      <c r="G1137" t="s">
        <v>140</v>
      </c>
      <c r="H1137">
        <v>1</v>
      </c>
      <c r="I1137">
        <v>29650</v>
      </c>
      <c r="J1137" t="s">
        <v>18</v>
      </c>
      <c r="K1137" t="s">
        <v>19</v>
      </c>
      <c r="L1137" s="5">
        <f t="shared" si="17"/>
        <v>29650</v>
      </c>
    </row>
    <row r="1138" spans="1:12" x14ac:dyDescent="0.3">
      <c r="A1138" t="s">
        <v>1613</v>
      </c>
      <c r="B1138" t="s">
        <v>1229</v>
      </c>
      <c r="C1138" s="2">
        <v>45892</v>
      </c>
      <c r="D1138" t="s">
        <v>33</v>
      </c>
      <c r="E1138" t="s">
        <v>38</v>
      </c>
      <c r="F1138" t="s">
        <v>23</v>
      </c>
      <c r="G1138" t="s">
        <v>24</v>
      </c>
      <c r="H1138">
        <v>1</v>
      </c>
      <c r="I1138">
        <v>50050</v>
      </c>
      <c r="J1138" t="s">
        <v>61</v>
      </c>
      <c r="K1138" t="s">
        <v>19</v>
      </c>
      <c r="L1138" s="5">
        <f t="shared" si="17"/>
        <v>50050</v>
      </c>
    </row>
    <row r="1139" spans="1:12" x14ac:dyDescent="0.3">
      <c r="A1139" t="s">
        <v>1614</v>
      </c>
      <c r="B1139" t="s">
        <v>903</v>
      </c>
      <c r="C1139" s="2">
        <v>45989</v>
      </c>
      <c r="D1139" t="s">
        <v>14</v>
      </c>
      <c r="E1139" t="s">
        <v>15</v>
      </c>
      <c r="F1139" t="s">
        <v>16</v>
      </c>
      <c r="G1139" t="s">
        <v>143</v>
      </c>
      <c r="H1139">
        <v>3</v>
      </c>
      <c r="I1139">
        <v>6500</v>
      </c>
      <c r="J1139" t="s">
        <v>18</v>
      </c>
      <c r="K1139" t="s">
        <v>19</v>
      </c>
      <c r="L1139" s="5">
        <f t="shared" si="17"/>
        <v>19500</v>
      </c>
    </row>
    <row r="1140" spans="1:12" x14ac:dyDescent="0.3">
      <c r="A1140" t="s">
        <v>1615</v>
      </c>
      <c r="B1140" t="s">
        <v>606</v>
      </c>
      <c r="C1140" s="2">
        <v>45835</v>
      </c>
      <c r="D1140" t="s">
        <v>33</v>
      </c>
      <c r="E1140" t="s">
        <v>38</v>
      </c>
      <c r="F1140" t="s">
        <v>16</v>
      </c>
      <c r="G1140" t="s">
        <v>48</v>
      </c>
      <c r="H1140">
        <v>3</v>
      </c>
      <c r="I1140">
        <v>1900</v>
      </c>
      <c r="J1140" t="s">
        <v>18</v>
      </c>
      <c r="K1140" t="s">
        <v>19</v>
      </c>
      <c r="L1140" s="5">
        <f t="shared" si="17"/>
        <v>5700</v>
      </c>
    </row>
    <row r="1141" spans="1:12" x14ac:dyDescent="0.3">
      <c r="A1141" t="s">
        <v>1616</v>
      </c>
      <c r="B1141" t="s">
        <v>935</v>
      </c>
      <c r="C1141" s="2">
        <v>45918</v>
      </c>
      <c r="D1141" t="s">
        <v>64</v>
      </c>
      <c r="E1141" t="s">
        <v>93</v>
      </c>
      <c r="F1141" t="s">
        <v>16</v>
      </c>
      <c r="G1141" t="s">
        <v>17</v>
      </c>
      <c r="H1141">
        <v>2</v>
      </c>
      <c r="I1141">
        <v>1750</v>
      </c>
      <c r="J1141" t="s">
        <v>35</v>
      </c>
      <c r="K1141" t="s">
        <v>19</v>
      </c>
      <c r="L1141" s="5">
        <f t="shared" si="17"/>
        <v>3500</v>
      </c>
    </row>
    <row r="1142" spans="1:12" x14ac:dyDescent="0.3">
      <c r="A1142" t="s">
        <v>1617</v>
      </c>
      <c r="B1142" t="s">
        <v>152</v>
      </c>
      <c r="C1142" s="2">
        <v>45660</v>
      </c>
      <c r="D1142" t="s">
        <v>46</v>
      </c>
      <c r="E1142" t="s">
        <v>55</v>
      </c>
      <c r="F1142" t="s">
        <v>23</v>
      </c>
      <c r="G1142" t="s">
        <v>137</v>
      </c>
      <c r="H1142">
        <v>2</v>
      </c>
      <c r="I1142">
        <v>36350</v>
      </c>
      <c r="J1142" t="s">
        <v>18</v>
      </c>
      <c r="K1142" t="s">
        <v>19</v>
      </c>
      <c r="L1142" s="5">
        <f t="shared" si="17"/>
        <v>72700</v>
      </c>
    </row>
    <row r="1143" spans="1:12" x14ac:dyDescent="0.3">
      <c r="A1143" t="s">
        <v>1618</v>
      </c>
      <c r="B1143" t="s">
        <v>1159</v>
      </c>
      <c r="C1143" s="2">
        <v>45729</v>
      </c>
      <c r="D1143" t="s">
        <v>64</v>
      </c>
      <c r="E1143" t="s">
        <v>86</v>
      </c>
      <c r="F1143" t="s">
        <v>39</v>
      </c>
      <c r="G1143" t="s">
        <v>52</v>
      </c>
      <c r="H1143">
        <v>2</v>
      </c>
      <c r="I1143">
        <v>7400</v>
      </c>
      <c r="J1143" t="s">
        <v>35</v>
      </c>
      <c r="K1143" t="s">
        <v>19</v>
      </c>
      <c r="L1143" s="5">
        <f t="shared" si="17"/>
        <v>14800</v>
      </c>
    </row>
    <row r="1144" spans="1:12" x14ac:dyDescent="0.3">
      <c r="A1144" t="s">
        <v>1619</v>
      </c>
      <c r="B1144" t="s">
        <v>701</v>
      </c>
      <c r="C1144" s="2">
        <v>45862</v>
      </c>
      <c r="D1144" t="s">
        <v>46</v>
      </c>
      <c r="E1144" t="s">
        <v>75</v>
      </c>
      <c r="F1144" t="s">
        <v>16</v>
      </c>
      <c r="G1144" t="s">
        <v>134</v>
      </c>
      <c r="H1144">
        <v>2</v>
      </c>
      <c r="I1144">
        <v>7550</v>
      </c>
      <c r="J1144" t="s">
        <v>18</v>
      </c>
      <c r="K1144" t="s">
        <v>19</v>
      </c>
      <c r="L1144" s="5">
        <f t="shared" si="17"/>
        <v>15100</v>
      </c>
    </row>
    <row r="1145" spans="1:12" x14ac:dyDescent="0.3">
      <c r="A1145" t="s">
        <v>1620</v>
      </c>
      <c r="B1145" t="s">
        <v>131</v>
      </c>
      <c r="C1145" s="2">
        <v>45914</v>
      </c>
      <c r="D1145" t="s">
        <v>14</v>
      </c>
      <c r="E1145" t="s">
        <v>15</v>
      </c>
      <c r="F1145" t="s">
        <v>39</v>
      </c>
      <c r="G1145" t="s">
        <v>44</v>
      </c>
      <c r="H1145">
        <v>3</v>
      </c>
      <c r="I1145">
        <v>3750</v>
      </c>
      <c r="J1145" t="s">
        <v>41</v>
      </c>
      <c r="K1145" t="s">
        <v>25</v>
      </c>
      <c r="L1145" s="5">
        <f t="shared" si="17"/>
        <v>11250</v>
      </c>
    </row>
    <row r="1146" spans="1:12" x14ac:dyDescent="0.3">
      <c r="A1146" t="s">
        <v>1621</v>
      </c>
      <c r="B1146" t="s">
        <v>628</v>
      </c>
      <c r="C1146" s="2">
        <v>45924</v>
      </c>
      <c r="D1146" t="s">
        <v>33</v>
      </c>
      <c r="E1146" t="s">
        <v>80</v>
      </c>
      <c r="F1146" t="s">
        <v>23</v>
      </c>
      <c r="G1146" t="s">
        <v>56</v>
      </c>
      <c r="H1146">
        <v>2</v>
      </c>
      <c r="I1146">
        <v>800</v>
      </c>
      <c r="J1146" t="s">
        <v>35</v>
      </c>
      <c r="K1146" t="s">
        <v>19</v>
      </c>
      <c r="L1146" s="5">
        <f t="shared" si="17"/>
        <v>1600</v>
      </c>
    </row>
    <row r="1147" spans="1:12" x14ac:dyDescent="0.3">
      <c r="A1147" t="s">
        <v>1622</v>
      </c>
      <c r="B1147" t="s">
        <v>728</v>
      </c>
      <c r="C1147" s="2">
        <v>45804</v>
      </c>
      <c r="D1147" t="s">
        <v>46</v>
      </c>
      <c r="E1147" t="s">
        <v>72</v>
      </c>
      <c r="F1147" t="s">
        <v>39</v>
      </c>
      <c r="G1147" t="s">
        <v>52</v>
      </c>
      <c r="H1147">
        <v>3</v>
      </c>
      <c r="I1147">
        <v>5050</v>
      </c>
      <c r="J1147" t="s">
        <v>18</v>
      </c>
      <c r="K1147" t="s">
        <v>19</v>
      </c>
      <c r="L1147" s="5">
        <f t="shared" si="17"/>
        <v>15150</v>
      </c>
    </row>
    <row r="1148" spans="1:12" x14ac:dyDescent="0.3">
      <c r="A1148" t="s">
        <v>1623</v>
      </c>
      <c r="B1148" t="s">
        <v>470</v>
      </c>
      <c r="C1148" s="2">
        <v>45971</v>
      </c>
      <c r="D1148" t="s">
        <v>33</v>
      </c>
      <c r="E1148" t="s">
        <v>68</v>
      </c>
      <c r="F1148" t="s">
        <v>29</v>
      </c>
      <c r="G1148" t="s">
        <v>90</v>
      </c>
      <c r="H1148">
        <v>1</v>
      </c>
      <c r="I1148">
        <v>650</v>
      </c>
      <c r="J1148" t="s">
        <v>18</v>
      </c>
      <c r="K1148" t="s">
        <v>69</v>
      </c>
      <c r="L1148" s="5">
        <f t="shared" si="17"/>
        <v>650</v>
      </c>
    </row>
    <row r="1149" spans="1:12" x14ac:dyDescent="0.3">
      <c r="A1149" t="s">
        <v>1624</v>
      </c>
      <c r="B1149" t="s">
        <v>635</v>
      </c>
      <c r="C1149" s="2">
        <v>45997</v>
      </c>
      <c r="D1149" t="s">
        <v>33</v>
      </c>
      <c r="E1149" t="s">
        <v>34</v>
      </c>
      <c r="F1149" t="s">
        <v>16</v>
      </c>
      <c r="G1149" t="s">
        <v>143</v>
      </c>
      <c r="H1149">
        <v>2</v>
      </c>
      <c r="I1149">
        <v>6000</v>
      </c>
      <c r="J1149" t="s">
        <v>18</v>
      </c>
      <c r="K1149" t="s">
        <v>19</v>
      </c>
      <c r="L1149" s="5">
        <f t="shared" si="17"/>
        <v>12000</v>
      </c>
    </row>
    <row r="1150" spans="1:12" x14ac:dyDescent="0.3">
      <c r="A1150" t="s">
        <v>1625</v>
      </c>
      <c r="B1150" t="s">
        <v>256</v>
      </c>
      <c r="C1150" s="2">
        <v>45821</v>
      </c>
      <c r="D1150" t="s">
        <v>14</v>
      </c>
      <c r="E1150" t="s">
        <v>51</v>
      </c>
      <c r="F1150" t="s">
        <v>29</v>
      </c>
      <c r="G1150" t="s">
        <v>90</v>
      </c>
      <c r="H1150">
        <v>2</v>
      </c>
      <c r="I1150">
        <v>4300</v>
      </c>
      <c r="J1150" t="s">
        <v>115</v>
      </c>
      <c r="K1150" t="s">
        <v>19</v>
      </c>
      <c r="L1150" s="5">
        <f t="shared" si="17"/>
        <v>8600</v>
      </c>
    </row>
    <row r="1151" spans="1:12" x14ac:dyDescent="0.3">
      <c r="A1151" t="s">
        <v>1626</v>
      </c>
      <c r="B1151" t="s">
        <v>1519</v>
      </c>
      <c r="C1151" s="2">
        <v>45891</v>
      </c>
      <c r="D1151" t="s">
        <v>14</v>
      </c>
      <c r="E1151" t="s">
        <v>15</v>
      </c>
      <c r="F1151" t="s">
        <v>23</v>
      </c>
      <c r="G1151" t="s">
        <v>56</v>
      </c>
      <c r="H1151">
        <v>1</v>
      </c>
      <c r="I1151">
        <v>30700</v>
      </c>
      <c r="J1151" t="s">
        <v>41</v>
      </c>
      <c r="K1151" t="s">
        <v>19</v>
      </c>
      <c r="L1151" s="5">
        <f t="shared" si="17"/>
        <v>30700</v>
      </c>
    </row>
    <row r="1152" spans="1:12" x14ac:dyDescent="0.3">
      <c r="A1152" t="s">
        <v>1627</v>
      </c>
      <c r="B1152" t="s">
        <v>236</v>
      </c>
      <c r="C1152" s="2">
        <v>45872</v>
      </c>
      <c r="D1152" t="s">
        <v>33</v>
      </c>
      <c r="E1152" t="s">
        <v>34</v>
      </c>
      <c r="F1152" t="s">
        <v>29</v>
      </c>
      <c r="G1152" t="s">
        <v>90</v>
      </c>
      <c r="H1152">
        <v>1</v>
      </c>
      <c r="I1152">
        <v>5450</v>
      </c>
      <c r="J1152" t="s">
        <v>18</v>
      </c>
      <c r="K1152" t="s">
        <v>19</v>
      </c>
      <c r="L1152" s="5">
        <f t="shared" si="17"/>
        <v>5450</v>
      </c>
    </row>
    <row r="1153" spans="1:12" x14ac:dyDescent="0.3">
      <c r="A1153" t="s">
        <v>1628</v>
      </c>
      <c r="B1153" t="s">
        <v>813</v>
      </c>
      <c r="C1153" s="2">
        <v>45929</v>
      </c>
      <c r="D1153" t="s">
        <v>33</v>
      </c>
      <c r="E1153" t="s">
        <v>34</v>
      </c>
      <c r="F1153" t="s">
        <v>59</v>
      </c>
      <c r="G1153" t="s">
        <v>103</v>
      </c>
      <c r="H1153">
        <v>2</v>
      </c>
      <c r="I1153">
        <v>1500</v>
      </c>
      <c r="J1153" t="s">
        <v>35</v>
      </c>
      <c r="K1153" t="s">
        <v>127</v>
      </c>
      <c r="L1153" s="5">
        <f t="shared" si="17"/>
        <v>3000</v>
      </c>
    </row>
    <row r="1154" spans="1:12" x14ac:dyDescent="0.3">
      <c r="A1154" t="s">
        <v>1629</v>
      </c>
      <c r="B1154" t="s">
        <v>826</v>
      </c>
      <c r="C1154" s="2">
        <v>45760</v>
      </c>
      <c r="D1154" t="s">
        <v>64</v>
      </c>
      <c r="E1154" t="s">
        <v>86</v>
      </c>
      <c r="F1154" t="s">
        <v>39</v>
      </c>
      <c r="G1154" t="s">
        <v>52</v>
      </c>
      <c r="H1154">
        <v>1</v>
      </c>
      <c r="I1154">
        <v>5950</v>
      </c>
      <c r="J1154" t="s">
        <v>41</v>
      </c>
      <c r="K1154" t="s">
        <v>19</v>
      </c>
      <c r="L1154" s="5">
        <f t="shared" si="17"/>
        <v>5950</v>
      </c>
    </row>
    <row r="1155" spans="1:12" x14ac:dyDescent="0.3">
      <c r="A1155" t="s">
        <v>1630</v>
      </c>
      <c r="B1155" t="s">
        <v>341</v>
      </c>
      <c r="C1155" s="2">
        <v>45689</v>
      </c>
      <c r="D1155" t="s">
        <v>46</v>
      </c>
      <c r="E1155" t="s">
        <v>75</v>
      </c>
      <c r="F1155" t="s">
        <v>59</v>
      </c>
      <c r="G1155" t="s">
        <v>163</v>
      </c>
      <c r="H1155">
        <v>1</v>
      </c>
      <c r="I1155">
        <v>450</v>
      </c>
      <c r="J1155" t="s">
        <v>35</v>
      </c>
      <c r="K1155" t="s">
        <v>19</v>
      </c>
      <c r="L1155" s="5">
        <f t="shared" ref="L1155:L1201" si="18">H1155*I1155</f>
        <v>450</v>
      </c>
    </row>
    <row r="1156" spans="1:12" x14ac:dyDescent="0.3">
      <c r="A1156" t="s">
        <v>1631</v>
      </c>
      <c r="B1156" t="s">
        <v>280</v>
      </c>
      <c r="C1156" s="2">
        <v>45840</v>
      </c>
      <c r="D1156" t="s">
        <v>33</v>
      </c>
      <c r="E1156" t="s">
        <v>38</v>
      </c>
      <c r="F1156" t="s">
        <v>39</v>
      </c>
      <c r="G1156" t="s">
        <v>40</v>
      </c>
      <c r="H1156">
        <v>1</v>
      </c>
      <c r="I1156">
        <v>7250</v>
      </c>
      <c r="J1156" t="s">
        <v>41</v>
      </c>
      <c r="K1156" t="s">
        <v>127</v>
      </c>
      <c r="L1156" s="5">
        <f t="shared" si="18"/>
        <v>7250</v>
      </c>
    </row>
    <row r="1157" spans="1:12" x14ac:dyDescent="0.3">
      <c r="A1157" t="s">
        <v>1632</v>
      </c>
      <c r="B1157" t="s">
        <v>105</v>
      </c>
      <c r="C1157" s="2">
        <v>45806</v>
      </c>
      <c r="D1157" t="s">
        <v>14</v>
      </c>
      <c r="E1157" t="s">
        <v>51</v>
      </c>
      <c r="F1157" t="s">
        <v>29</v>
      </c>
      <c r="G1157" t="s">
        <v>90</v>
      </c>
      <c r="H1157">
        <v>1</v>
      </c>
      <c r="I1157">
        <v>7800</v>
      </c>
      <c r="J1157" t="s">
        <v>41</v>
      </c>
      <c r="K1157" t="s">
        <v>127</v>
      </c>
      <c r="L1157" s="5">
        <f t="shared" si="18"/>
        <v>7800</v>
      </c>
    </row>
    <row r="1158" spans="1:12" x14ac:dyDescent="0.3">
      <c r="A1158" t="s">
        <v>1633</v>
      </c>
      <c r="B1158" t="s">
        <v>227</v>
      </c>
      <c r="C1158" s="2">
        <v>45760</v>
      </c>
      <c r="D1158" t="s">
        <v>14</v>
      </c>
      <c r="E1158" t="s">
        <v>51</v>
      </c>
      <c r="F1158" t="s">
        <v>23</v>
      </c>
      <c r="G1158" t="s">
        <v>137</v>
      </c>
      <c r="H1158">
        <v>2</v>
      </c>
      <c r="I1158">
        <v>55300</v>
      </c>
      <c r="J1158" t="s">
        <v>115</v>
      </c>
      <c r="K1158" t="s">
        <v>127</v>
      </c>
      <c r="L1158" s="5">
        <f t="shared" si="18"/>
        <v>110600</v>
      </c>
    </row>
    <row r="1159" spans="1:12" x14ac:dyDescent="0.3">
      <c r="A1159" t="s">
        <v>1634</v>
      </c>
      <c r="B1159" t="s">
        <v>105</v>
      </c>
      <c r="C1159" s="2">
        <v>45945</v>
      </c>
      <c r="D1159" t="s">
        <v>14</v>
      </c>
      <c r="E1159" t="s">
        <v>51</v>
      </c>
      <c r="F1159" t="s">
        <v>23</v>
      </c>
      <c r="G1159" t="s">
        <v>137</v>
      </c>
      <c r="H1159">
        <v>3</v>
      </c>
      <c r="I1159">
        <v>19250</v>
      </c>
      <c r="J1159" t="s">
        <v>18</v>
      </c>
      <c r="K1159" t="s">
        <v>19</v>
      </c>
      <c r="L1159" s="5">
        <f t="shared" si="18"/>
        <v>57750</v>
      </c>
    </row>
    <row r="1160" spans="1:12" x14ac:dyDescent="0.3">
      <c r="A1160" t="s">
        <v>1635</v>
      </c>
      <c r="B1160" t="s">
        <v>703</v>
      </c>
      <c r="C1160" s="2">
        <v>45691</v>
      </c>
      <c r="D1160" t="s">
        <v>14</v>
      </c>
      <c r="E1160" t="s">
        <v>51</v>
      </c>
      <c r="F1160" t="s">
        <v>23</v>
      </c>
      <c r="G1160" t="s">
        <v>140</v>
      </c>
      <c r="H1160">
        <v>3</v>
      </c>
      <c r="I1160">
        <v>27600</v>
      </c>
      <c r="J1160" t="s">
        <v>35</v>
      </c>
      <c r="K1160" t="s">
        <v>19</v>
      </c>
      <c r="L1160" s="5">
        <f t="shared" si="18"/>
        <v>82800</v>
      </c>
    </row>
    <row r="1161" spans="1:12" x14ac:dyDescent="0.3">
      <c r="A1161" t="s">
        <v>1636</v>
      </c>
      <c r="B1161" t="s">
        <v>451</v>
      </c>
      <c r="C1161" s="2">
        <v>45961</v>
      </c>
      <c r="D1161" t="s">
        <v>14</v>
      </c>
      <c r="E1161" t="s">
        <v>28</v>
      </c>
      <c r="F1161" t="s">
        <v>29</v>
      </c>
      <c r="G1161" t="s">
        <v>184</v>
      </c>
      <c r="H1161">
        <v>3</v>
      </c>
      <c r="I1161">
        <v>5500</v>
      </c>
      <c r="J1161" t="s">
        <v>61</v>
      </c>
      <c r="K1161" t="s">
        <v>19</v>
      </c>
      <c r="L1161" s="5">
        <f t="shared" si="18"/>
        <v>16500</v>
      </c>
    </row>
    <row r="1162" spans="1:12" x14ac:dyDescent="0.3">
      <c r="A1162" t="s">
        <v>1637</v>
      </c>
      <c r="B1162" t="s">
        <v>549</v>
      </c>
      <c r="C1162" s="2">
        <v>46018</v>
      </c>
      <c r="D1162" t="s">
        <v>64</v>
      </c>
      <c r="E1162" t="s">
        <v>86</v>
      </c>
      <c r="F1162" t="s">
        <v>59</v>
      </c>
      <c r="G1162" t="s">
        <v>322</v>
      </c>
      <c r="H1162">
        <v>1</v>
      </c>
      <c r="I1162">
        <v>3700</v>
      </c>
      <c r="J1162" t="s">
        <v>35</v>
      </c>
      <c r="K1162" t="s">
        <v>19</v>
      </c>
      <c r="L1162" s="5">
        <f t="shared" si="18"/>
        <v>3700</v>
      </c>
    </row>
    <row r="1163" spans="1:12" x14ac:dyDescent="0.3">
      <c r="A1163" t="s">
        <v>1638</v>
      </c>
      <c r="B1163" t="s">
        <v>1482</v>
      </c>
      <c r="C1163" s="2">
        <v>45714</v>
      </c>
      <c r="D1163" t="s">
        <v>33</v>
      </c>
      <c r="E1163" t="s">
        <v>38</v>
      </c>
      <c r="F1163" t="s">
        <v>23</v>
      </c>
      <c r="G1163" t="s">
        <v>140</v>
      </c>
      <c r="H1163">
        <v>2</v>
      </c>
      <c r="I1163">
        <v>10250</v>
      </c>
      <c r="J1163" t="s">
        <v>61</v>
      </c>
      <c r="K1163" t="s">
        <v>19</v>
      </c>
      <c r="L1163" s="5">
        <f t="shared" si="18"/>
        <v>20500</v>
      </c>
    </row>
    <row r="1164" spans="1:12" x14ac:dyDescent="0.3">
      <c r="A1164" t="s">
        <v>1639</v>
      </c>
      <c r="B1164" t="s">
        <v>978</v>
      </c>
      <c r="C1164" s="2">
        <v>45679</v>
      </c>
      <c r="D1164" t="s">
        <v>14</v>
      </c>
      <c r="E1164" t="s">
        <v>28</v>
      </c>
      <c r="F1164" t="s">
        <v>23</v>
      </c>
      <c r="G1164" t="s">
        <v>140</v>
      </c>
      <c r="H1164">
        <v>1</v>
      </c>
      <c r="I1164">
        <v>59100</v>
      </c>
      <c r="J1164" t="s">
        <v>35</v>
      </c>
      <c r="K1164" t="s">
        <v>19</v>
      </c>
      <c r="L1164" s="5">
        <f t="shared" si="18"/>
        <v>59100</v>
      </c>
    </row>
    <row r="1165" spans="1:12" x14ac:dyDescent="0.3">
      <c r="A1165" t="s">
        <v>1640</v>
      </c>
      <c r="B1165" t="s">
        <v>175</v>
      </c>
      <c r="C1165" s="2">
        <v>45843</v>
      </c>
      <c r="D1165" t="s">
        <v>14</v>
      </c>
      <c r="E1165" t="s">
        <v>22</v>
      </c>
      <c r="F1165" t="s">
        <v>39</v>
      </c>
      <c r="G1165" t="s">
        <v>44</v>
      </c>
      <c r="H1165">
        <v>2</v>
      </c>
      <c r="I1165">
        <v>3400</v>
      </c>
      <c r="J1165" t="s">
        <v>18</v>
      </c>
      <c r="K1165" t="s">
        <v>19</v>
      </c>
      <c r="L1165" s="5">
        <f t="shared" si="18"/>
        <v>6800</v>
      </c>
    </row>
    <row r="1166" spans="1:12" x14ac:dyDescent="0.3">
      <c r="A1166" t="s">
        <v>1641</v>
      </c>
      <c r="B1166" t="s">
        <v>280</v>
      </c>
      <c r="C1166" s="2">
        <v>45867</v>
      </c>
      <c r="D1166" t="s">
        <v>64</v>
      </c>
      <c r="E1166" t="s">
        <v>99</v>
      </c>
      <c r="F1166" t="s">
        <v>23</v>
      </c>
      <c r="G1166" t="s">
        <v>140</v>
      </c>
      <c r="H1166">
        <v>3</v>
      </c>
      <c r="I1166">
        <v>54400</v>
      </c>
      <c r="J1166" t="s">
        <v>61</v>
      </c>
      <c r="K1166" t="s">
        <v>19</v>
      </c>
      <c r="L1166" s="5">
        <f t="shared" si="18"/>
        <v>163200</v>
      </c>
    </row>
    <row r="1167" spans="1:12" x14ac:dyDescent="0.3">
      <c r="A1167" t="s">
        <v>1642</v>
      </c>
      <c r="B1167" t="s">
        <v>272</v>
      </c>
      <c r="C1167" s="2">
        <v>45937</v>
      </c>
      <c r="D1167" t="s">
        <v>33</v>
      </c>
      <c r="E1167" t="s">
        <v>80</v>
      </c>
      <c r="F1167" t="s">
        <v>23</v>
      </c>
      <c r="G1167" t="s">
        <v>193</v>
      </c>
      <c r="H1167">
        <v>3</v>
      </c>
      <c r="I1167">
        <v>6000</v>
      </c>
      <c r="J1167" t="s">
        <v>35</v>
      </c>
      <c r="K1167" t="s">
        <v>19</v>
      </c>
      <c r="L1167" s="5">
        <f t="shared" si="18"/>
        <v>18000</v>
      </c>
    </row>
    <row r="1168" spans="1:12" x14ac:dyDescent="0.3">
      <c r="A1168" t="s">
        <v>1643</v>
      </c>
      <c r="B1168" t="s">
        <v>777</v>
      </c>
      <c r="C1168" s="2">
        <v>45836</v>
      </c>
      <c r="D1168" t="s">
        <v>14</v>
      </c>
      <c r="E1168" t="s">
        <v>51</v>
      </c>
      <c r="F1168" t="s">
        <v>29</v>
      </c>
      <c r="G1168" t="s">
        <v>30</v>
      </c>
      <c r="H1168">
        <v>4</v>
      </c>
      <c r="I1168">
        <v>1400</v>
      </c>
      <c r="J1168" t="s">
        <v>41</v>
      </c>
      <c r="K1168" t="s">
        <v>19</v>
      </c>
      <c r="L1168" s="5">
        <f t="shared" si="18"/>
        <v>5600</v>
      </c>
    </row>
    <row r="1169" spans="1:12" x14ac:dyDescent="0.3">
      <c r="A1169" t="s">
        <v>1644</v>
      </c>
      <c r="B1169" t="s">
        <v>1020</v>
      </c>
      <c r="C1169" s="2">
        <v>45868</v>
      </c>
      <c r="D1169" t="s">
        <v>64</v>
      </c>
      <c r="E1169" t="s">
        <v>65</v>
      </c>
      <c r="F1169" t="s">
        <v>16</v>
      </c>
      <c r="G1169" t="s">
        <v>134</v>
      </c>
      <c r="H1169">
        <v>2</v>
      </c>
      <c r="I1169">
        <v>3300</v>
      </c>
      <c r="J1169" t="s">
        <v>35</v>
      </c>
      <c r="K1169" t="s">
        <v>19</v>
      </c>
      <c r="L1169" s="5">
        <f t="shared" si="18"/>
        <v>6600</v>
      </c>
    </row>
    <row r="1170" spans="1:12" x14ac:dyDescent="0.3">
      <c r="A1170" t="s">
        <v>1645</v>
      </c>
      <c r="B1170" t="s">
        <v>852</v>
      </c>
      <c r="C1170" s="2">
        <v>45974</v>
      </c>
      <c r="D1170" t="s">
        <v>64</v>
      </c>
      <c r="E1170" t="s">
        <v>86</v>
      </c>
      <c r="F1170" t="s">
        <v>29</v>
      </c>
      <c r="G1170" t="s">
        <v>100</v>
      </c>
      <c r="H1170">
        <v>2</v>
      </c>
      <c r="I1170">
        <v>4600</v>
      </c>
      <c r="J1170" t="s">
        <v>41</v>
      </c>
      <c r="K1170" t="s">
        <v>19</v>
      </c>
      <c r="L1170" s="5">
        <f t="shared" si="18"/>
        <v>9200</v>
      </c>
    </row>
    <row r="1171" spans="1:12" x14ac:dyDescent="0.3">
      <c r="A1171" t="s">
        <v>1646</v>
      </c>
      <c r="B1171" t="s">
        <v>567</v>
      </c>
      <c r="C1171" s="2">
        <v>45692</v>
      </c>
      <c r="D1171" t="s">
        <v>14</v>
      </c>
      <c r="E1171" t="s">
        <v>28</v>
      </c>
      <c r="F1171" t="s">
        <v>16</v>
      </c>
      <c r="G1171" t="s">
        <v>48</v>
      </c>
      <c r="H1171">
        <v>4</v>
      </c>
      <c r="I1171">
        <v>7550</v>
      </c>
      <c r="J1171" t="s">
        <v>35</v>
      </c>
      <c r="K1171" t="s">
        <v>127</v>
      </c>
      <c r="L1171" s="5">
        <f t="shared" si="18"/>
        <v>30200</v>
      </c>
    </row>
    <row r="1172" spans="1:12" x14ac:dyDescent="0.3">
      <c r="A1172" t="s">
        <v>1647</v>
      </c>
      <c r="B1172" t="s">
        <v>804</v>
      </c>
      <c r="C1172" s="2">
        <v>45832</v>
      </c>
      <c r="D1172" t="s">
        <v>14</v>
      </c>
      <c r="E1172" t="s">
        <v>15</v>
      </c>
      <c r="F1172" t="s">
        <v>16</v>
      </c>
      <c r="G1172" t="s">
        <v>81</v>
      </c>
      <c r="H1172">
        <v>1</v>
      </c>
      <c r="I1172">
        <v>6050</v>
      </c>
      <c r="J1172" t="s">
        <v>115</v>
      </c>
      <c r="K1172" t="s">
        <v>19</v>
      </c>
      <c r="L1172" s="5">
        <f t="shared" si="18"/>
        <v>6050</v>
      </c>
    </row>
    <row r="1173" spans="1:12" x14ac:dyDescent="0.3">
      <c r="A1173" t="s">
        <v>1648</v>
      </c>
      <c r="B1173" t="s">
        <v>971</v>
      </c>
      <c r="C1173" s="2">
        <v>45963</v>
      </c>
      <c r="D1173" t="s">
        <v>64</v>
      </c>
      <c r="E1173" t="s">
        <v>99</v>
      </c>
      <c r="F1173" t="s">
        <v>16</v>
      </c>
      <c r="G1173" t="s">
        <v>143</v>
      </c>
      <c r="H1173">
        <v>3</v>
      </c>
      <c r="I1173">
        <v>4350</v>
      </c>
      <c r="J1173" t="s">
        <v>18</v>
      </c>
      <c r="K1173" t="s">
        <v>127</v>
      </c>
      <c r="L1173" s="5">
        <f t="shared" si="18"/>
        <v>13050</v>
      </c>
    </row>
    <row r="1174" spans="1:12" x14ac:dyDescent="0.3">
      <c r="A1174" t="s">
        <v>1649</v>
      </c>
      <c r="B1174" t="s">
        <v>188</v>
      </c>
      <c r="C1174" s="2">
        <v>45816</v>
      </c>
      <c r="D1174" t="s">
        <v>14</v>
      </c>
      <c r="E1174" t="s">
        <v>28</v>
      </c>
      <c r="F1174" t="s">
        <v>16</v>
      </c>
      <c r="G1174" t="s">
        <v>17</v>
      </c>
      <c r="H1174">
        <v>1</v>
      </c>
      <c r="I1174">
        <v>6750</v>
      </c>
      <c r="J1174" t="s">
        <v>61</v>
      </c>
      <c r="K1174" t="s">
        <v>19</v>
      </c>
      <c r="L1174" s="5">
        <f t="shared" si="18"/>
        <v>6750</v>
      </c>
    </row>
    <row r="1175" spans="1:12" x14ac:dyDescent="0.3">
      <c r="A1175" t="s">
        <v>1650</v>
      </c>
      <c r="B1175" t="s">
        <v>339</v>
      </c>
      <c r="C1175" s="2">
        <v>45924</v>
      </c>
      <c r="D1175" t="s">
        <v>14</v>
      </c>
      <c r="E1175" t="s">
        <v>15</v>
      </c>
      <c r="F1175" t="s">
        <v>16</v>
      </c>
      <c r="G1175" t="s">
        <v>143</v>
      </c>
      <c r="H1175">
        <v>3</v>
      </c>
      <c r="I1175">
        <v>6900</v>
      </c>
      <c r="J1175" t="s">
        <v>35</v>
      </c>
      <c r="K1175" t="s">
        <v>69</v>
      </c>
      <c r="L1175" s="5">
        <f t="shared" si="18"/>
        <v>20700</v>
      </c>
    </row>
    <row r="1176" spans="1:12" x14ac:dyDescent="0.3">
      <c r="A1176" t="s">
        <v>1651</v>
      </c>
      <c r="B1176" t="s">
        <v>527</v>
      </c>
      <c r="C1176" s="2">
        <v>45947</v>
      </c>
      <c r="D1176" t="s">
        <v>14</v>
      </c>
      <c r="E1176" t="s">
        <v>22</v>
      </c>
      <c r="F1176" t="s">
        <v>29</v>
      </c>
      <c r="G1176" t="s">
        <v>184</v>
      </c>
      <c r="H1176">
        <v>2</v>
      </c>
      <c r="I1176">
        <v>5000</v>
      </c>
      <c r="J1176" t="s">
        <v>115</v>
      </c>
      <c r="K1176" t="s">
        <v>19</v>
      </c>
      <c r="L1176" s="5">
        <f t="shared" si="18"/>
        <v>10000</v>
      </c>
    </row>
    <row r="1177" spans="1:12" x14ac:dyDescent="0.3">
      <c r="A1177" t="s">
        <v>1652</v>
      </c>
      <c r="B1177" t="s">
        <v>341</v>
      </c>
      <c r="C1177" s="2">
        <v>45915</v>
      </c>
      <c r="D1177" t="s">
        <v>14</v>
      </c>
      <c r="E1177" t="s">
        <v>15</v>
      </c>
      <c r="F1177" t="s">
        <v>23</v>
      </c>
      <c r="G1177" t="s">
        <v>56</v>
      </c>
      <c r="H1177">
        <v>2</v>
      </c>
      <c r="I1177">
        <v>42750</v>
      </c>
      <c r="J1177" t="s">
        <v>18</v>
      </c>
      <c r="K1177" t="s">
        <v>25</v>
      </c>
      <c r="L1177" s="5">
        <f t="shared" si="18"/>
        <v>85500</v>
      </c>
    </row>
    <row r="1178" spans="1:12" x14ac:dyDescent="0.3">
      <c r="A1178" t="s">
        <v>1653</v>
      </c>
      <c r="B1178" t="s">
        <v>581</v>
      </c>
      <c r="C1178" s="2">
        <v>45738</v>
      </c>
      <c r="D1178" t="s">
        <v>46</v>
      </c>
      <c r="E1178" t="s">
        <v>72</v>
      </c>
      <c r="F1178" t="s">
        <v>39</v>
      </c>
      <c r="G1178" t="s">
        <v>146</v>
      </c>
      <c r="H1178">
        <v>1</v>
      </c>
      <c r="I1178">
        <v>9000</v>
      </c>
      <c r="J1178" t="s">
        <v>41</v>
      </c>
      <c r="K1178" t="s">
        <v>19</v>
      </c>
      <c r="L1178" s="5">
        <f t="shared" si="18"/>
        <v>9000</v>
      </c>
    </row>
    <row r="1179" spans="1:12" x14ac:dyDescent="0.3">
      <c r="A1179" t="s">
        <v>1654</v>
      </c>
      <c r="B1179" t="s">
        <v>179</v>
      </c>
      <c r="C1179" s="2">
        <v>45964</v>
      </c>
      <c r="D1179" t="s">
        <v>14</v>
      </c>
      <c r="E1179" t="s">
        <v>28</v>
      </c>
      <c r="F1179" t="s">
        <v>23</v>
      </c>
      <c r="G1179" t="s">
        <v>24</v>
      </c>
      <c r="H1179">
        <v>2</v>
      </c>
      <c r="I1179">
        <v>49850</v>
      </c>
      <c r="J1179" t="s">
        <v>18</v>
      </c>
      <c r="K1179" t="s">
        <v>19</v>
      </c>
      <c r="L1179" s="5">
        <f t="shared" si="18"/>
        <v>99700</v>
      </c>
    </row>
    <row r="1180" spans="1:12" x14ac:dyDescent="0.3">
      <c r="A1180" t="s">
        <v>1655</v>
      </c>
      <c r="B1180" t="s">
        <v>85</v>
      </c>
      <c r="C1180" s="2">
        <v>45897</v>
      </c>
      <c r="D1180" t="s">
        <v>33</v>
      </c>
      <c r="E1180" t="s">
        <v>80</v>
      </c>
      <c r="F1180" t="s">
        <v>39</v>
      </c>
      <c r="G1180" t="s">
        <v>52</v>
      </c>
      <c r="H1180">
        <v>2</v>
      </c>
      <c r="I1180">
        <v>4900</v>
      </c>
      <c r="J1180" t="s">
        <v>18</v>
      </c>
      <c r="K1180" t="s">
        <v>19</v>
      </c>
      <c r="L1180" s="5">
        <f t="shared" si="18"/>
        <v>9800</v>
      </c>
    </row>
    <row r="1181" spans="1:12" x14ac:dyDescent="0.3">
      <c r="A1181" t="s">
        <v>1656</v>
      </c>
      <c r="B1181" t="s">
        <v>816</v>
      </c>
      <c r="C1181" s="2">
        <v>45798</v>
      </c>
      <c r="D1181" t="s">
        <v>14</v>
      </c>
      <c r="E1181" t="s">
        <v>51</v>
      </c>
      <c r="F1181" t="s">
        <v>39</v>
      </c>
      <c r="G1181" t="s">
        <v>87</v>
      </c>
      <c r="H1181">
        <v>1</v>
      </c>
      <c r="I1181">
        <v>7400</v>
      </c>
      <c r="J1181" t="s">
        <v>35</v>
      </c>
      <c r="K1181" t="s">
        <v>19</v>
      </c>
      <c r="L1181" s="5">
        <f t="shared" si="18"/>
        <v>7400</v>
      </c>
    </row>
    <row r="1182" spans="1:12" x14ac:dyDescent="0.3">
      <c r="A1182" t="s">
        <v>1657</v>
      </c>
      <c r="B1182" t="s">
        <v>806</v>
      </c>
      <c r="C1182" s="2">
        <v>45671</v>
      </c>
      <c r="D1182" t="s">
        <v>64</v>
      </c>
      <c r="E1182" t="s">
        <v>86</v>
      </c>
      <c r="F1182" t="s">
        <v>23</v>
      </c>
      <c r="G1182" t="s">
        <v>140</v>
      </c>
      <c r="H1182">
        <v>3</v>
      </c>
      <c r="I1182">
        <v>58550</v>
      </c>
      <c r="J1182" t="s">
        <v>115</v>
      </c>
      <c r="K1182" t="s">
        <v>19</v>
      </c>
      <c r="L1182" s="5">
        <f t="shared" si="18"/>
        <v>175650</v>
      </c>
    </row>
    <row r="1183" spans="1:12" x14ac:dyDescent="0.3">
      <c r="A1183" t="s">
        <v>1658</v>
      </c>
      <c r="B1183" t="s">
        <v>201</v>
      </c>
      <c r="C1183" s="2">
        <v>45973</v>
      </c>
      <c r="D1183" t="s">
        <v>14</v>
      </c>
      <c r="E1183" t="s">
        <v>15</v>
      </c>
      <c r="F1183" t="s">
        <v>16</v>
      </c>
      <c r="G1183" t="s">
        <v>81</v>
      </c>
      <c r="H1183">
        <v>2</v>
      </c>
      <c r="I1183">
        <v>5800</v>
      </c>
      <c r="J1183" t="s">
        <v>18</v>
      </c>
      <c r="K1183" t="s">
        <v>69</v>
      </c>
      <c r="L1183" s="5">
        <f t="shared" si="18"/>
        <v>11600</v>
      </c>
    </row>
    <row r="1184" spans="1:12" x14ac:dyDescent="0.3">
      <c r="A1184" t="s">
        <v>1659</v>
      </c>
      <c r="B1184" t="s">
        <v>258</v>
      </c>
      <c r="C1184" s="2">
        <v>45940</v>
      </c>
      <c r="D1184" t="s">
        <v>33</v>
      </c>
      <c r="E1184" t="s">
        <v>68</v>
      </c>
      <c r="F1184" t="s">
        <v>29</v>
      </c>
      <c r="G1184" t="s">
        <v>100</v>
      </c>
      <c r="H1184">
        <v>2</v>
      </c>
      <c r="I1184">
        <v>1200</v>
      </c>
      <c r="J1184" t="s">
        <v>18</v>
      </c>
      <c r="K1184" t="s">
        <v>19</v>
      </c>
      <c r="L1184" s="5">
        <f t="shared" si="18"/>
        <v>2400</v>
      </c>
    </row>
    <row r="1185" spans="1:12" x14ac:dyDescent="0.3">
      <c r="A1185" t="s">
        <v>1660</v>
      </c>
      <c r="B1185" t="s">
        <v>885</v>
      </c>
      <c r="C1185" s="2">
        <v>45985</v>
      </c>
      <c r="D1185" t="s">
        <v>33</v>
      </c>
      <c r="E1185" t="s">
        <v>68</v>
      </c>
      <c r="F1185" t="s">
        <v>39</v>
      </c>
      <c r="G1185" t="s">
        <v>146</v>
      </c>
      <c r="H1185">
        <v>1</v>
      </c>
      <c r="I1185">
        <v>7350</v>
      </c>
      <c r="J1185" t="s">
        <v>18</v>
      </c>
      <c r="K1185" t="s">
        <v>25</v>
      </c>
      <c r="L1185" s="5">
        <f t="shared" si="18"/>
        <v>7350</v>
      </c>
    </row>
    <row r="1186" spans="1:12" x14ac:dyDescent="0.3">
      <c r="A1186" t="s">
        <v>1661</v>
      </c>
      <c r="B1186" t="s">
        <v>673</v>
      </c>
      <c r="C1186" s="2">
        <v>45703</v>
      </c>
      <c r="D1186" t="s">
        <v>14</v>
      </c>
      <c r="E1186" t="s">
        <v>15</v>
      </c>
      <c r="F1186" t="s">
        <v>39</v>
      </c>
      <c r="G1186" t="s">
        <v>146</v>
      </c>
      <c r="H1186">
        <v>1</v>
      </c>
      <c r="I1186">
        <v>2600</v>
      </c>
      <c r="J1186" t="s">
        <v>41</v>
      </c>
      <c r="K1186" t="s">
        <v>19</v>
      </c>
      <c r="L1186" s="5">
        <f t="shared" si="18"/>
        <v>2600</v>
      </c>
    </row>
    <row r="1187" spans="1:12" x14ac:dyDescent="0.3">
      <c r="A1187" t="s">
        <v>1662</v>
      </c>
      <c r="B1187" t="s">
        <v>339</v>
      </c>
      <c r="C1187" s="2">
        <v>45934</v>
      </c>
      <c r="D1187" t="s">
        <v>14</v>
      </c>
      <c r="E1187" t="s">
        <v>28</v>
      </c>
      <c r="F1187" t="s">
        <v>23</v>
      </c>
      <c r="G1187" t="s">
        <v>24</v>
      </c>
      <c r="H1187">
        <v>1</v>
      </c>
      <c r="I1187">
        <v>32350</v>
      </c>
      <c r="J1187" t="s">
        <v>18</v>
      </c>
      <c r="K1187" t="s">
        <v>19</v>
      </c>
      <c r="L1187" s="5">
        <f t="shared" si="18"/>
        <v>32350</v>
      </c>
    </row>
    <row r="1188" spans="1:12" x14ac:dyDescent="0.3">
      <c r="A1188" t="s">
        <v>1663</v>
      </c>
      <c r="B1188" t="s">
        <v>575</v>
      </c>
      <c r="C1188" s="2">
        <v>45851</v>
      </c>
      <c r="D1188" t="s">
        <v>46</v>
      </c>
      <c r="E1188" t="s">
        <v>55</v>
      </c>
      <c r="F1188" t="s">
        <v>59</v>
      </c>
      <c r="G1188" t="s">
        <v>60</v>
      </c>
      <c r="H1188">
        <v>2</v>
      </c>
      <c r="I1188">
        <v>4500</v>
      </c>
      <c r="J1188" t="s">
        <v>18</v>
      </c>
      <c r="K1188" t="s">
        <v>127</v>
      </c>
      <c r="L1188" s="5">
        <f t="shared" si="18"/>
        <v>9000</v>
      </c>
    </row>
    <row r="1189" spans="1:12" x14ac:dyDescent="0.3">
      <c r="A1189" t="s">
        <v>1664</v>
      </c>
      <c r="B1189" t="s">
        <v>510</v>
      </c>
      <c r="C1189" s="2">
        <v>46001</v>
      </c>
      <c r="D1189" t="s">
        <v>64</v>
      </c>
      <c r="E1189" t="s">
        <v>93</v>
      </c>
      <c r="F1189" t="s">
        <v>39</v>
      </c>
      <c r="G1189" t="s">
        <v>146</v>
      </c>
      <c r="H1189">
        <v>1</v>
      </c>
      <c r="I1189">
        <v>2400</v>
      </c>
      <c r="J1189" t="s">
        <v>41</v>
      </c>
      <c r="K1189" t="s">
        <v>19</v>
      </c>
      <c r="L1189" s="5">
        <f t="shared" si="18"/>
        <v>2400</v>
      </c>
    </row>
    <row r="1190" spans="1:12" x14ac:dyDescent="0.3">
      <c r="A1190" t="s">
        <v>1665</v>
      </c>
      <c r="B1190" t="s">
        <v>363</v>
      </c>
      <c r="C1190" s="2">
        <v>45835</v>
      </c>
      <c r="D1190" t="s">
        <v>14</v>
      </c>
      <c r="E1190" t="s">
        <v>15</v>
      </c>
      <c r="F1190" t="s">
        <v>29</v>
      </c>
      <c r="G1190" t="s">
        <v>90</v>
      </c>
      <c r="H1190">
        <v>1</v>
      </c>
      <c r="I1190">
        <v>7450</v>
      </c>
      <c r="J1190" t="s">
        <v>35</v>
      </c>
      <c r="K1190" t="s">
        <v>19</v>
      </c>
      <c r="L1190" s="5">
        <f t="shared" si="18"/>
        <v>7450</v>
      </c>
    </row>
    <row r="1191" spans="1:12" x14ac:dyDescent="0.3">
      <c r="A1191" t="s">
        <v>1666</v>
      </c>
      <c r="B1191" t="s">
        <v>1667</v>
      </c>
      <c r="C1191" s="2">
        <v>45685</v>
      </c>
      <c r="D1191" t="s">
        <v>46</v>
      </c>
      <c r="E1191" t="s">
        <v>75</v>
      </c>
      <c r="F1191" t="s">
        <v>29</v>
      </c>
      <c r="G1191" t="s">
        <v>100</v>
      </c>
      <c r="H1191">
        <v>1</v>
      </c>
      <c r="I1191">
        <v>7150</v>
      </c>
      <c r="J1191" t="s">
        <v>18</v>
      </c>
      <c r="K1191" t="s">
        <v>19</v>
      </c>
      <c r="L1191" s="5">
        <f t="shared" si="18"/>
        <v>7150</v>
      </c>
    </row>
    <row r="1192" spans="1:12" x14ac:dyDescent="0.3">
      <c r="A1192" t="s">
        <v>1668</v>
      </c>
      <c r="B1192" t="s">
        <v>1041</v>
      </c>
      <c r="C1192" s="2">
        <v>45740</v>
      </c>
      <c r="D1192" t="s">
        <v>14</v>
      </c>
      <c r="E1192" t="s">
        <v>28</v>
      </c>
      <c r="F1192" t="s">
        <v>16</v>
      </c>
      <c r="G1192" t="s">
        <v>134</v>
      </c>
      <c r="H1192">
        <v>3</v>
      </c>
      <c r="I1192">
        <v>8150</v>
      </c>
      <c r="J1192" t="s">
        <v>41</v>
      </c>
      <c r="K1192" t="s">
        <v>19</v>
      </c>
      <c r="L1192" s="5">
        <f t="shared" si="18"/>
        <v>24450</v>
      </c>
    </row>
    <row r="1193" spans="1:12" x14ac:dyDescent="0.3">
      <c r="A1193" t="s">
        <v>1669</v>
      </c>
      <c r="B1193" t="s">
        <v>852</v>
      </c>
      <c r="C1193" s="2">
        <v>45913</v>
      </c>
      <c r="D1193" t="s">
        <v>14</v>
      </c>
      <c r="E1193" t="s">
        <v>51</v>
      </c>
      <c r="F1193" t="s">
        <v>16</v>
      </c>
      <c r="G1193" t="s">
        <v>81</v>
      </c>
      <c r="H1193">
        <v>1</v>
      </c>
      <c r="I1193">
        <v>3900</v>
      </c>
      <c r="J1193" t="s">
        <v>41</v>
      </c>
      <c r="K1193" t="s">
        <v>19</v>
      </c>
      <c r="L1193" s="5">
        <f t="shared" si="18"/>
        <v>3900</v>
      </c>
    </row>
    <row r="1194" spans="1:12" x14ac:dyDescent="0.3">
      <c r="A1194" t="s">
        <v>1670</v>
      </c>
      <c r="B1194" t="s">
        <v>703</v>
      </c>
      <c r="C1194" s="2">
        <v>45951</v>
      </c>
      <c r="D1194" t="s">
        <v>33</v>
      </c>
      <c r="E1194" t="s">
        <v>38</v>
      </c>
      <c r="F1194" t="s">
        <v>23</v>
      </c>
      <c r="G1194" t="s">
        <v>56</v>
      </c>
      <c r="H1194">
        <v>1</v>
      </c>
      <c r="I1194">
        <v>12550</v>
      </c>
      <c r="J1194" t="s">
        <v>35</v>
      </c>
      <c r="K1194" t="s">
        <v>19</v>
      </c>
      <c r="L1194" s="5">
        <f t="shared" si="18"/>
        <v>12550</v>
      </c>
    </row>
    <row r="1195" spans="1:12" x14ac:dyDescent="0.3">
      <c r="A1195" t="s">
        <v>1671</v>
      </c>
      <c r="B1195" t="s">
        <v>1229</v>
      </c>
      <c r="C1195" s="2">
        <v>45704</v>
      </c>
      <c r="D1195" t="s">
        <v>33</v>
      </c>
      <c r="E1195" t="s">
        <v>38</v>
      </c>
      <c r="F1195" t="s">
        <v>59</v>
      </c>
      <c r="G1195" t="s">
        <v>60</v>
      </c>
      <c r="H1195">
        <v>1</v>
      </c>
      <c r="I1195">
        <v>2050</v>
      </c>
      <c r="K1195" t="s">
        <v>19</v>
      </c>
      <c r="L1195" s="5">
        <f t="shared" si="18"/>
        <v>2050</v>
      </c>
    </row>
    <row r="1196" spans="1:12" x14ac:dyDescent="0.3">
      <c r="A1196" t="s">
        <v>1672</v>
      </c>
      <c r="B1196" t="s">
        <v>1005</v>
      </c>
      <c r="C1196" s="2">
        <v>45700</v>
      </c>
      <c r="D1196" t="s">
        <v>14</v>
      </c>
      <c r="E1196" t="s">
        <v>22</v>
      </c>
      <c r="F1196" t="s">
        <v>39</v>
      </c>
      <c r="G1196" t="s">
        <v>146</v>
      </c>
      <c r="H1196">
        <v>2</v>
      </c>
      <c r="I1196">
        <v>700</v>
      </c>
      <c r="J1196" t="s">
        <v>35</v>
      </c>
      <c r="K1196" t="s">
        <v>19</v>
      </c>
      <c r="L1196" s="5">
        <f t="shared" si="18"/>
        <v>1400</v>
      </c>
    </row>
    <row r="1197" spans="1:12" x14ac:dyDescent="0.3">
      <c r="A1197" t="s">
        <v>1673</v>
      </c>
      <c r="B1197" t="s">
        <v>739</v>
      </c>
      <c r="C1197" s="2">
        <v>46019</v>
      </c>
      <c r="D1197" t="s">
        <v>64</v>
      </c>
      <c r="E1197" t="s">
        <v>93</v>
      </c>
      <c r="F1197" t="s">
        <v>59</v>
      </c>
      <c r="G1197" t="s">
        <v>163</v>
      </c>
      <c r="H1197">
        <v>2</v>
      </c>
      <c r="I1197">
        <v>1400</v>
      </c>
      <c r="J1197" t="s">
        <v>41</v>
      </c>
      <c r="K1197" t="s">
        <v>19</v>
      </c>
      <c r="L1197" s="5">
        <f t="shared" si="18"/>
        <v>2800</v>
      </c>
    </row>
    <row r="1198" spans="1:12" x14ac:dyDescent="0.3">
      <c r="A1198" t="s">
        <v>1674</v>
      </c>
      <c r="B1198" t="s">
        <v>456</v>
      </c>
      <c r="C1198" s="2">
        <v>45960</v>
      </c>
      <c r="D1198" t="s">
        <v>14</v>
      </c>
      <c r="E1198" t="s">
        <v>28</v>
      </c>
      <c r="F1198" t="s">
        <v>16</v>
      </c>
      <c r="G1198" t="s">
        <v>134</v>
      </c>
      <c r="H1198">
        <v>2</v>
      </c>
      <c r="I1198">
        <v>5900</v>
      </c>
      <c r="J1198" t="s">
        <v>41</v>
      </c>
      <c r="K1198" t="s">
        <v>19</v>
      </c>
      <c r="L1198" s="5">
        <f t="shared" si="18"/>
        <v>11800</v>
      </c>
    </row>
    <row r="1199" spans="1:12" x14ac:dyDescent="0.3">
      <c r="A1199" t="s">
        <v>1675</v>
      </c>
      <c r="B1199" t="s">
        <v>1095</v>
      </c>
      <c r="C1199" s="2">
        <v>45736</v>
      </c>
      <c r="D1199" t="s">
        <v>46</v>
      </c>
      <c r="E1199" t="s">
        <v>47</v>
      </c>
      <c r="F1199" t="s">
        <v>23</v>
      </c>
      <c r="G1199" t="s">
        <v>193</v>
      </c>
      <c r="H1199">
        <v>2</v>
      </c>
      <c r="I1199">
        <v>51100</v>
      </c>
      <c r="J1199" t="s">
        <v>18</v>
      </c>
      <c r="K1199" t="s">
        <v>19</v>
      </c>
      <c r="L1199" s="5">
        <f t="shared" si="18"/>
        <v>102200</v>
      </c>
    </row>
    <row r="1200" spans="1:12" x14ac:dyDescent="0.3">
      <c r="A1200" t="s">
        <v>1676</v>
      </c>
      <c r="B1200" t="s">
        <v>479</v>
      </c>
      <c r="C1200" s="2">
        <v>45978</v>
      </c>
      <c r="D1200" t="s">
        <v>14</v>
      </c>
      <c r="E1200" t="s">
        <v>51</v>
      </c>
      <c r="F1200" t="s">
        <v>29</v>
      </c>
      <c r="G1200" t="s">
        <v>96</v>
      </c>
      <c r="H1200">
        <v>1</v>
      </c>
      <c r="I1200">
        <v>2400</v>
      </c>
      <c r="J1200" t="s">
        <v>41</v>
      </c>
      <c r="K1200" t="s">
        <v>19</v>
      </c>
      <c r="L1200" s="5">
        <f t="shared" si="18"/>
        <v>2400</v>
      </c>
    </row>
    <row r="1201" spans="1:12" x14ac:dyDescent="0.3">
      <c r="A1201" t="s">
        <v>1677</v>
      </c>
      <c r="B1201" t="s">
        <v>188</v>
      </c>
      <c r="C1201" s="2">
        <v>45910</v>
      </c>
      <c r="D1201" t="s">
        <v>33</v>
      </c>
      <c r="E1201" t="s">
        <v>34</v>
      </c>
      <c r="F1201" t="s">
        <v>23</v>
      </c>
      <c r="G1201" t="s">
        <v>140</v>
      </c>
      <c r="H1201">
        <v>1</v>
      </c>
      <c r="I1201">
        <v>56050</v>
      </c>
      <c r="J1201" t="s">
        <v>35</v>
      </c>
      <c r="K1201" t="s">
        <v>19</v>
      </c>
      <c r="L1201" s="5">
        <f t="shared" si="18"/>
        <v>56050</v>
      </c>
    </row>
  </sheetData>
  <autoFilter ref="K1:K1201" xr:uid="{00000000-0001-0000-0000-000000000000}"/>
  <conditionalFormatting sqref="A1:A1048576">
    <cfRule type="duplicateValues" dxfId="0" priority="1"/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RowHeight="14.4" x14ac:dyDescent="0.3"/>
  <cols>
    <col min="2" max="2" width="20.109375" customWidth="1"/>
  </cols>
  <sheetData>
    <row r="1" spans="1:2" x14ac:dyDescent="0.3">
      <c r="A1" s="1" t="s">
        <v>1678</v>
      </c>
      <c r="B1" s="1" t="s">
        <v>1679</v>
      </c>
    </row>
    <row r="2" spans="1:2" ht="28.8" x14ac:dyDescent="0.3">
      <c r="A2" t="s">
        <v>1680</v>
      </c>
      <c r="B2" s="3" t="s">
        <v>1681</v>
      </c>
    </row>
    <row r="3" spans="1:2" ht="28.8" x14ac:dyDescent="0.3">
      <c r="A3" t="s">
        <v>1682</v>
      </c>
      <c r="B3" s="3" t="s">
        <v>1683</v>
      </c>
    </row>
    <row r="4" spans="1:2" x14ac:dyDescent="0.3">
      <c r="A4" t="s">
        <v>1684</v>
      </c>
      <c r="B4">
        <v>1200</v>
      </c>
    </row>
    <row r="5" spans="1:2" x14ac:dyDescent="0.3">
      <c r="A5" t="s">
        <v>1685</v>
      </c>
      <c r="B5">
        <v>12</v>
      </c>
    </row>
    <row r="6" spans="1:2" ht="43.2" x14ac:dyDescent="0.3">
      <c r="A6" t="s">
        <v>1686</v>
      </c>
      <c r="B6" s="3" t="s">
        <v>1687</v>
      </c>
    </row>
    <row r="7" spans="1:2" ht="43.2" x14ac:dyDescent="0.3">
      <c r="A7" t="s">
        <v>1688</v>
      </c>
      <c r="B7" s="3" t="s">
        <v>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 by Payment Method</vt:lpstr>
      <vt:lpstr>Project Info</vt:lpstr>
      <vt:lpstr>Sales by Product</vt:lpstr>
      <vt:lpstr>E-commerce Dashboard</vt:lpstr>
      <vt:lpstr>Monthly Sales Trend</vt:lpstr>
      <vt:lpstr>Sales by Category</vt:lpstr>
      <vt:lpstr>Sales by Region</vt:lpstr>
      <vt:lpstr>Raw Data</vt:lpstr>
      <vt:lpstr>Dataset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bapathiswarnalatha@outlook.com</cp:lastModifiedBy>
  <dcterms:created xsi:type="dcterms:W3CDTF">2026-09-28T05:17:17Z</dcterms:created>
  <dcterms:modified xsi:type="dcterms:W3CDTF">2026-09-29T06:32:56Z</dcterms:modified>
</cp:coreProperties>
</file>